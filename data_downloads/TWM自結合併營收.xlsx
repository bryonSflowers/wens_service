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mcloud-my.sharepoint.com/personal/wentseng_taiwanmobile_com/Documents/桌面/Wen/其他/自結合併營收/"/>
    </mc:Choice>
  </mc:AlternateContent>
  <xr:revisionPtr revIDLastSave="1603" documentId="13_ncr:1_{FF51A276-EA80-4437-92DB-AD74873A146F}" xr6:coauthVersionLast="47" xr6:coauthVersionMax="47" xr10:uidLastSave="{FDCC8511-845D-437E-8C96-7FB81C7CEECC}"/>
  <bookViews>
    <workbookView minimized="1" xWindow="2304" yWindow="2304" windowWidth="17280" windowHeight="8880" activeTab="5" xr2:uid="{DAC3E6B1-2ECD-4079-B32F-518F8425D048}"/>
  </bookViews>
  <sheets>
    <sheet name="純數字" sheetId="7" r:id="rId1"/>
    <sheet name="大表" sheetId="1" r:id="rId2"/>
    <sheet name="raw" sheetId="2" r:id="rId3"/>
    <sheet name="林之晨任期績效" sheetId="31" r:id="rId4"/>
    <sheet name="三雄比較表" sheetId="26" r:id="rId5"/>
    <sheet name="月報模板" sheetId="33" r:id="rId6"/>
    <sheet name="2026.04" sheetId="27" r:id="rId7"/>
    <sheet name="2026.03" sheetId="25" r:id="rId8"/>
    <sheet name="2026.02" sheetId="24" r:id="rId9"/>
    <sheet name="2026.01" sheetId="23" r:id="rId10"/>
    <sheet name="2025.12" sheetId="22" r:id="rId11"/>
    <sheet name="2025.11" sheetId="21" r:id="rId12"/>
    <sheet name="2025.10" sheetId="20" r:id="rId13"/>
    <sheet name="2025.09" sheetId="19" r:id="rId14"/>
    <sheet name="2025.08" sheetId="17" r:id="rId15"/>
    <sheet name="2025.07" sheetId="16" r:id="rId16"/>
    <sheet name="2025.06" sheetId="15" r:id="rId17"/>
    <sheet name="2025.05" sheetId="14" r:id="rId18"/>
    <sheet name="2025.04" sheetId="13" r:id="rId19"/>
    <sheet name="2025.03" sheetId="12" r:id="rId20"/>
    <sheet name="2025.02" sheetId="11" r:id="rId21"/>
    <sheet name="2025.01" sheetId="10" r:id="rId22"/>
    <sheet name="2024.12" sheetId="9" r:id="rId23"/>
    <sheet name="2024.11" sheetId="8" r:id="rId24"/>
    <sheet name="2024.10" sheetId="6" r:id="rId25"/>
    <sheet name="2024.09" sheetId="5" r:id="rId26"/>
    <sheet name="2024.08" sheetId="3" r:id="rId27"/>
    <sheet name="CEO" sheetId="30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3" l="1"/>
  <c r="D18" i="33"/>
  <c r="C18" i="33"/>
  <c r="F9" i="33"/>
  <c r="D9" i="33"/>
  <c r="C9" i="33"/>
  <c r="B17" i="33"/>
  <c r="B8" i="33"/>
  <c r="D23" i="33"/>
  <c r="D22" i="33"/>
  <c r="D21" i="33"/>
  <c r="D20" i="33"/>
  <c r="D19" i="33"/>
  <c r="I3" i="33"/>
  <c r="F13" i="33" s="1" a="1"/>
  <c r="F13" i="33" s="1"/>
  <c r="C6" i="27"/>
  <c r="K13" i="31"/>
  <c r="K12" i="31"/>
  <c r="K11" i="31"/>
  <c r="K10" i="31"/>
  <c r="K9" i="31"/>
  <c r="K8" i="31"/>
  <c r="K7" i="31"/>
  <c r="D17" i="31"/>
  <c r="E17" i="31"/>
  <c r="F17" i="31"/>
  <c r="G17" i="31"/>
  <c r="H17" i="31"/>
  <c r="I17" i="31"/>
  <c r="J17" i="31"/>
  <c r="D18" i="31"/>
  <c r="E18" i="31"/>
  <c r="F18" i="31"/>
  <c r="G18" i="31"/>
  <c r="H18" i="31"/>
  <c r="I18" i="31"/>
  <c r="D19" i="31"/>
  <c r="E19" i="31"/>
  <c r="F19" i="31"/>
  <c r="G19" i="31"/>
  <c r="H19" i="31"/>
  <c r="I19" i="31"/>
  <c r="D20" i="31"/>
  <c r="E20" i="31"/>
  <c r="F20" i="31"/>
  <c r="G20" i="31"/>
  <c r="H20" i="31"/>
  <c r="I20" i="31"/>
  <c r="D21" i="31"/>
  <c r="E21" i="31"/>
  <c r="F21" i="31"/>
  <c r="G21" i="31"/>
  <c r="H21" i="31"/>
  <c r="I21" i="31"/>
  <c r="D22" i="31"/>
  <c r="E22" i="31"/>
  <c r="F22" i="31"/>
  <c r="G22" i="31"/>
  <c r="H22" i="31"/>
  <c r="I22" i="31"/>
  <c r="J22" i="31"/>
  <c r="D23" i="31"/>
  <c r="E23" i="31"/>
  <c r="F23" i="31"/>
  <c r="G23" i="31"/>
  <c r="H23" i="31"/>
  <c r="I23" i="31"/>
  <c r="M12" i="31"/>
  <c r="L12" i="31"/>
  <c r="L10" i="31"/>
  <c r="L9" i="31"/>
  <c r="L8" i="31"/>
  <c r="J13" i="31"/>
  <c r="J23" i="31" s="1"/>
  <c r="J10" i="31"/>
  <c r="J11" i="31" s="1"/>
  <c r="J9" i="31"/>
  <c r="J19" i="31" s="1"/>
  <c r="J8" i="31"/>
  <c r="J18" i="31" s="1"/>
  <c r="J7" i="31"/>
  <c r="L7" i="31" s="1"/>
  <c r="AM5" i="1"/>
  <c r="AL5" i="1"/>
  <c r="AK5" i="1"/>
  <c r="AJ5" i="1"/>
  <c r="AI5" i="1"/>
  <c r="AH5" i="1"/>
  <c r="AG5" i="1"/>
  <c r="AF5" i="1"/>
  <c r="AE5" i="1"/>
  <c r="AD5" i="1"/>
  <c r="AC5" i="1"/>
  <c r="AB5" i="1"/>
  <c r="AQ5" i="1"/>
  <c r="AP5" i="1"/>
  <c r="AO5" i="1"/>
  <c r="AR5" i="1"/>
  <c r="C19" i="27"/>
  <c r="E19" i="27" s="1"/>
  <c r="C18" i="27"/>
  <c r="E18" i="27" s="1"/>
  <c r="E17" i="27"/>
  <c r="C17" i="27"/>
  <c r="C16" i="27"/>
  <c r="E16" i="27" s="1"/>
  <c r="C15" i="27"/>
  <c r="E15" i="27" s="1"/>
  <c r="C3" i="26"/>
  <c r="D3" i="26"/>
  <c r="F3" i="26"/>
  <c r="G3" i="26"/>
  <c r="H3" i="26"/>
  <c r="I3" i="26" s="1"/>
  <c r="J3" i="26" s="1"/>
  <c r="K3" i="26" s="1"/>
  <c r="L3" i="26" s="1"/>
  <c r="M3" i="26" s="1"/>
  <c r="N3" i="26" s="1"/>
  <c r="O3" i="26" s="1"/>
  <c r="P3" i="26" s="1"/>
  <c r="Q3" i="26" s="1"/>
  <c r="C6" i="26"/>
  <c r="D6" i="26" s="1"/>
  <c r="F6" i="26"/>
  <c r="G6" i="26" s="1"/>
  <c r="H6" i="26" s="1"/>
  <c r="I6" i="26" s="1"/>
  <c r="J6" i="26" s="1"/>
  <c r="K6" i="26" s="1"/>
  <c r="L6" i="26" s="1"/>
  <c r="M6" i="26" s="1"/>
  <c r="N6" i="26" s="1"/>
  <c r="O6" i="26" s="1"/>
  <c r="P6" i="26" s="1"/>
  <c r="Q6" i="26" s="1"/>
  <c r="C9" i="26"/>
  <c r="D9" i="26" s="1"/>
  <c r="F9" i="26"/>
  <c r="G9" i="26" s="1"/>
  <c r="H9" i="26" s="1"/>
  <c r="I9" i="26" s="1"/>
  <c r="J9" i="26" s="1"/>
  <c r="K9" i="26" s="1"/>
  <c r="L9" i="26" s="1"/>
  <c r="M9" i="26" s="1"/>
  <c r="N9" i="26" s="1"/>
  <c r="O9" i="26" s="1"/>
  <c r="P9" i="26" s="1"/>
  <c r="Q9" i="26" s="1"/>
  <c r="F31" i="33" l="1" a="1"/>
  <c r="F31" i="33" s="1"/>
  <c r="F30" i="33" a="1"/>
  <c r="F30" i="33" s="1"/>
  <c r="C31" i="33" a="1"/>
  <c r="C31" i="33" s="1"/>
  <c r="D28" i="33" a="1"/>
  <c r="D28" i="33" s="1"/>
  <c r="D32" i="33" a="1"/>
  <c r="D32" i="33" s="1"/>
  <c r="D29" i="33" a="1"/>
  <c r="D29" i="33" s="1"/>
  <c r="D30" i="33" a="1"/>
  <c r="D30" i="33" s="1"/>
  <c r="C29" i="33" a="1"/>
  <c r="C29" i="33" s="1"/>
  <c r="C28" i="33" a="1"/>
  <c r="C28" i="33" s="1"/>
  <c r="F32" i="33" a="1"/>
  <c r="F32" i="33" s="1"/>
  <c r="F28" i="33" a="1"/>
  <c r="F28" i="33" s="1"/>
  <c r="F29" i="33" a="1"/>
  <c r="F29" i="33" s="1"/>
  <c r="D31" i="33" a="1"/>
  <c r="D31" i="33" s="1"/>
  <c r="C12" i="33" a="1"/>
  <c r="C12" i="33" s="1"/>
  <c r="C14" i="33" a="1"/>
  <c r="C14" i="33" s="1"/>
  <c r="C10" i="33" a="1"/>
  <c r="C10" i="33" s="1"/>
  <c r="D12" i="33" a="1"/>
  <c r="D12" i="33" s="1"/>
  <c r="D10" i="33" a="1"/>
  <c r="D10" i="33" s="1"/>
  <c r="F12" i="33" a="1"/>
  <c r="F12" i="33" s="1"/>
  <c r="F14" i="33" a="1"/>
  <c r="F14" i="33" s="1"/>
  <c r="F10" i="33" a="1"/>
  <c r="F10" i="33" s="1"/>
  <c r="G10" i="33" s="1"/>
  <c r="C13" i="33" a="1"/>
  <c r="C13" i="33" s="1"/>
  <c r="C11" i="33" a="1"/>
  <c r="C11" i="33" s="1"/>
  <c r="F11" i="33" a="1"/>
  <c r="F11" i="33" s="1"/>
  <c r="M11" i="31"/>
  <c r="L11" i="31"/>
  <c r="J21" i="31"/>
  <c r="L13" i="31"/>
  <c r="M8" i="31"/>
  <c r="M9" i="31"/>
  <c r="J20" i="31"/>
  <c r="M7" i="31"/>
  <c r="M10" i="31"/>
  <c r="M13" i="31"/>
  <c r="C8" i="25"/>
  <c r="G8" i="25" s="1"/>
  <c r="C7" i="25"/>
  <c r="E7" i="25" s="1"/>
  <c r="C6" i="25"/>
  <c r="G6" i="25" s="1"/>
  <c r="C18" i="25"/>
  <c r="C17" i="25"/>
  <c r="E17" i="25" s="1"/>
  <c r="C15" i="25"/>
  <c r="C26" i="25"/>
  <c r="G26" i="25" s="1"/>
  <c r="C24" i="25"/>
  <c r="E24" i="25" s="1"/>
  <c r="E18" i="25"/>
  <c r="E15" i="25"/>
  <c r="E19" i="24"/>
  <c r="E18" i="24"/>
  <c r="E17" i="24"/>
  <c r="E16" i="24"/>
  <c r="E15" i="24"/>
  <c r="C19" i="24"/>
  <c r="C18" i="24"/>
  <c r="C17" i="24"/>
  <c r="C16" i="24"/>
  <c r="C15" i="24"/>
  <c r="C14" i="22"/>
  <c r="C10" i="24"/>
  <c r="C9" i="24"/>
  <c r="C8" i="24"/>
  <c r="C7" i="24"/>
  <c r="G7" i="24" s="1"/>
  <c r="C6" i="24"/>
  <c r="G6" i="24" s="1"/>
  <c r="G10" i="24"/>
  <c r="E10" i="24"/>
  <c r="G9" i="24"/>
  <c r="G8" i="24"/>
  <c r="E8" i="24"/>
  <c r="AZ12" i="7"/>
  <c r="AY12" i="7"/>
  <c r="AX12" i="7"/>
  <c r="AW12" i="7"/>
  <c r="AV12" i="7"/>
  <c r="AU12" i="7"/>
  <c r="AT12" i="7"/>
  <c r="AS12" i="7"/>
  <c r="AR12" i="7"/>
  <c r="AQ12" i="7"/>
  <c r="AP12" i="7"/>
  <c r="AZ11" i="7"/>
  <c r="AY11" i="7"/>
  <c r="AX11" i="7"/>
  <c r="AW11" i="7"/>
  <c r="AV11" i="7"/>
  <c r="AU11" i="7"/>
  <c r="AT11" i="7"/>
  <c r="AS11" i="7"/>
  <c r="AR11" i="7"/>
  <c r="AQ11" i="7"/>
  <c r="AP11" i="7"/>
  <c r="AZ10" i="7"/>
  <c r="AY10" i="7"/>
  <c r="AX10" i="7"/>
  <c r="AW10" i="7"/>
  <c r="AV10" i="7"/>
  <c r="AU10" i="7"/>
  <c r="AT10" i="7"/>
  <c r="AS10" i="7"/>
  <c r="AR10" i="7"/>
  <c r="AQ10" i="7"/>
  <c r="AP10" i="7"/>
  <c r="AZ9" i="7"/>
  <c r="AY9" i="7"/>
  <c r="AX9" i="7"/>
  <c r="AW9" i="7"/>
  <c r="AV9" i="7"/>
  <c r="AU9" i="7"/>
  <c r="AT9" i="7"/>
  <c r="AS9" i="7"/>
  <c r="AR9" i="7"/>
  <c r="AQ9" i="7"/>
  <c r="AP9" i="7"/>
  <c r="AZ8" i="7"/>
  <c r="AY8" i="7"/>
  <c r="AX8" i="7"/>
  <c r="AW8" i="7"/>
  <c r="AV8" i="7"/>
  <c r="AU8" i="7"/>
  <c r="AT8" i="7"/>
  <c r="AS8" i="7"/>
  <c r="C23" i="33" s="1"/>
  <c r="E23" i="33" s="1"/>
  <c r="AR8" i="7"/>
  <c r="AQ8" i="7"/>
  <c r="C10" i="25" s="1"/>
  <c r="G10" i="25" s="1"/>
  <c r="AP8" i="7"/>
  <c r="AZ7" i="7"/>
  <c r="AY7" i="7"/>
  <c r="AX7" i="7"/>
  <c r="AW7" i="7"/>
  <c r="AV7" i="7"/>
  <c r="AU7" i="7"/>
  <c r="AT7" i="7"/>
  <c r="AS7" i="7"/>
  <c r="C22" i="33" s="1"/>
  <c r="E22" i="33" s="1"/>
  <c r="AR7" i="7"/>
  <c r="AQ7" i="7"/>
  <c r="C9" i="25" s="1"/>
  <c r="G9" i="25" s="1"/>
  <c r="AP7" i="7"/>
  <c r="AZ6" i="7"/>
  <c r="AY6" i="7"/>
  <c r="AX6" i="7"/>
  <c r="AW6" i="7"/>
  <c r="AV6" i="7"/>
  <c r="AU6" i="7"/>
  <c r="AT6" i="7"/>
  <c r="AS6" i="7"/>
  <c r="C21" i="33" s="1"/>
  <c r="E21" i="33" s="1"/>
  <c r="AR6" i="7"/>
  <c r="AQ6" i="7"/>
  <c r="AP6" i="7"/>
  <c r="AZ5" i="7"/>
  <c r="AY5" i="7"/>
  <c r="AX5" i="7"/>
  <c r="AW5" i="7"/>
  <c r="AV5" i="7"/>
  <c r="AU5" i="7"/>
  <c r="AT5" i="7"/>
  <c r="AS5" i="7"/>
  <c r="C20" i="33" s="1"/>
  <c r="E20" i="33" s="1"/>
  <c r="AR5" i="7"/>
  <c r="AQ5" i="7"/>
  <c r="C25" i="25" s="1"/>
  <c r="E25" i="25" s="1"/>
  <c r="AP5" i="7"/>
  <c r="AZ4" i="7"/>
  <c r="AY4" i="7"/>
  <c r="AX4" i="7"/>
  <c r="AW4" i="7"/>
  <c r="AV4" i="7"/>
  <c r="AU4" i="7"/>
  <c r="AT4" i="7"/>
  <c r="AS4" i="7"/>
  <c r="C19" i="33" s="1"/>
  <c r="E19" i="33" s="1"/>
  <c r="AR4" i="7"/>
  <c r="AQ4" i="7"/>
  <c r="AP4" i="7"/>
  <c r="F10" i="23"/>
  <c r="F9" i="23"/>
  <c r="F8" i="23"/>
  <c r="F7" i="23"/>
  <c r="F6" i="23"/>
  <c r="C10" i="23"/>
  <c r="C9" i="23"/>
  <c r="C8" i="23"/>
  <c r="C7" i="23"/>
  <c r="G7" i="23" s="1"/>
  <c r="C6" i="23"/>
  <c r="E10" i="23"/>
  <c r="E9" i="23"/>
  <c r="G8" i="23"/>
  <c r="E8" i="23"/>
  <c r="E6" i="23"/>
  <c r="AT30" i="1"/>
  <c r="AW29" i="1"/>
  <c r="AU29" i="1"/>
  <c r="AT29" i="1"/>
  <c r="AZ28" i="1"/>
  <c r="AZ30" i="1" s="1"/>
  <c r="AY28" i="1"/>
  <c r="AY30" i="1" s="1"/>
  <c r="AX28" i="1"/>
  <c r="AX30" i="1" s="1"/>
  <c r="AW28" i="1"/>
  <c r="AW30" i="1" s="1"/>
  <c r="AV28" i="1"/>
  <c r="AV30" i="1" s="1"/>
  <c r="AU28" i="1"/>
  <c r="AU30" i="1" s="1"/>
  <c r="AT28" i="1"/>
  <c r="AS28" i="1"/>
  <c r="AS30" i="1" s="1"/>
  <c r="AR28" i="1"/>
  <c r="AQ28" i="1"/>
  <c r="AQ29" i="1" s="1"/>
  <c r="AP28" i="1"/>
  <c r="AP29" i="1" s="1"/>
  <c r="AO28" i="1"/>
  <c r="AO29" i="1" s="1"/>
  <c r="AZ25" i="1"/>
  <c r="AZ27" i="1" s="1"/>
  <c r="AY25" i="1"/>
  <c r="AY27" i="1" s="1"/>
  <c r="AX25" i="1"/>
  <c r="AX27" i="1" s="1"/>
  <c r="AW25" i="1"/>
  <c r="AW27" i="1" s="1"/>
  <c r="AV25" i="1"/>
  <c r="AV26" i="1" s="1"/>
  <c r="AU25" i="1"/>
  <c r="AU27" i="1" s="1"/>
  <c r="AT25" i="1"/>
  <c r="AS25" i="1"/>
  <c r="AS27" i="1" s="1"/>
  <c r="AR25" i="1"/>
  <c r="AQ25" i="1"/>
  <c r="AQ26" i="1" s="1"/>
  <c r="AP25" i="1"/>
  <c r="AO25" i="1"/>
  <c r="AP27" i="1" s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Z19" i="1"/>
  <c r="AZ21" i="1" s="1"/>
  <c r="AY19" i="1"/>
  <c r="AY21" i="1" s="1"/>
  <c r="AX19" i="1"/>
  <c r="AX21" i="1" s="1"/>
  <c r="AW19" i="1"/>
  <c r="AW21" i="1" s="1"/>
  <c r="AV19" i="1"/>
  <c r="AV21" i="1" s="1"/>
  <c r="AU19" i="1"/>
  <c r="AU21" i="1" s="1"/>
  <c r="AT19" i="1"/>
  <c r="AS19" i="1"/>
  <c r="AS21" i="1" s="1"/>
  <c r="AR19" i="1"/>
  <c r="AQ19" i="1"/>
  <c r="AQ21" i="1" s="1"/>
  <c r="AP19" i="1"/>
  <c r="AP21" i="1" s="1"/>
  <c r="AO19" i="1"/>
  <c r="AO21" i="1" s="1"/>
  <c r="AV17" i="1"/>
  <c r="AU17" i="1"/>
  <c r="AZ16" i="1"/>
  <c r="AZ18" i="1" s="1"/>
  <c r="AY16" i="1"/>
  <c r="AY18" i="1" s="1"/>
  <c r="AX16" i="1"/>
  <c r="AX18" i="1" s="1"/>
  <c r="AW16" i="1"/>
  <c r="AW18" i="1" s="1"/>
  <c r="AV16" i="1"/>
  <c r="AV18" i="1" s="1"/>
  <c r="AU16" i="1"/>
  <c r="AU18" i="1" s="1"/>
  <c r="AT16" i="1"/>
  <c r="AS16" i="1"/>
  <c r="AR16" i="1"/>
  <c r="AQ16" i="1"/>
  <c r="AP16" i="1"/>
  <c r="AP18" i="1" s="1"/>
  <c r="AO16" i="1"/>
  <c r="AO18" i="1" s="1"/>
  <c r="AU14" i="1"/>
  <c r="AZ13" i="1"/>
  <c r="AZ15" i="1" s="1"/>
  <c r="AY13" i="1"/>
  <c r="AY15" i="1" s="1"/>
  <c r="AX13" i="1"/>
  <c r="AX15" i="1" s="1"/>
  <c r="AW13" i="1"/>
  <c r="AW15" i="1" s="1"/>
  <c r="AV13" i="1"/>
  <c r="AV15" i="1" s="1"/>
  <c r="AU13" i="1"/>
  <c r="AU15" i="1" s="1"/>
  <c r="AT13" i="1"/>
  <c r="AS13" i="1"/>
  <c r="AR13" i="1"/>
  <c r="AQ13" i="1"/>
  <c r="AP13" i="1"/>
  <c r="AP15" i="1" s="1"/>
  <c r="AO13" i="1"/>
  <c r="AO14" i="1" s="1"/>
  <c r="AT12" i="1"/>
  <c r="AV11" i="1"/>
  <c r="AZ10" i="1"/>
  <c r="AZ12" i="1" s="1"/>
  <c r="AY10" i="1"/>
  <c r="AY12" i="1" s="1"/>
  <c r="AX10" i="1"/>
  <c r="AX12" i="1" s="1"/>
  <c r="AW10" i="1"/>
  <c r="AW11" i="1" s="1"/>
  <c r="AV10" i="1"/>
  <c r="AV12" i="1" s="1"/>
  <c r="AU10" i="1"/>
  <c r="AU11" i="1" s="1"/>
  <c r="AT10" i="1"/>
  <c r="AT11" i="1" s="1"/>
  <c r="AS10" i="1"/>
  <c r="AR10" i="1"/>
  <c r="AR12" i="1" s="1"/>
  <c r="AQ10" i="1"/>
  <c r="AP10" i="1"/>
  <c r="AP12" i="1" s="1"/>
  <c r="AO10" i="1"/>
  <c r="AO12" i="1" s="1"/>
  <c r="AW8" i="1"/>
  <c r="AV8" i="1"/>
  <c r="AR8" i="1"/>
  <c r="AZ7" i="1"/>
  <c r="AZ9" i="1" s="1"/>
  <c r="AY7" i="1"/>
  <c r="AY9" i="1" s="1"/>
  <c r="AX7" i="1"/>
  <c r="AX9" i="1" s="1"/>
  <c r="AW7" i="1"/>
  <c r="AW9" i="1" s="1"/>
  <c r="AV7" i="1"/>
  <c r="AV9" i="1" s="1"/>
  <c r="AU7" i="1"/>
  <c r="AU9" i="1" s="1"/>
  <c r="AT7" i="1"/>
  <c r="AS7" i="1"/>
  <c r="AR7" i="1"/>
  <c r="AQ7" i="1"/>
  <c r="AP7" i="1"/>
  <c r="AP8" i="1" s="1"/>
  <c r="AO7" i="1"/>
  <c r="AO8" i="1" s="1"/>
  <c r="AO6" i="1"/>
  <c r="AZ4" i="1"/>
  <c r="AZ6" i="1" s="1"/>
  <c r="AY4" i="1"/>
  <c r="AY6" i="1" s="1"/>
  <c r="AX4" i="1"/>
  <c r="AX6" i="1" s="1"/>
  <c r="AW4" i="1"/>
  <c r="AW6" i="1" s="1"/>
  <c r="AV4" i="1"/>
  <c r="AV6" i="1" s="1"/>
  <c r="AU4" i="1"/>
  <c r="AU6" i="1" s="1"/>
  <c r="AT4" i="1"/>
  <c r="AT5" i="1" s="1"/>
  <c r="AS4" i="1"/>
  <c r="AS6" i="1" s="1"/>
  <c r="AR4" i="1"/>
  <c r="AQ4" i="1"/>
  <c r="AR6" i="1" s="1"/>
  <c r="AP4" i="1"/>
  <c r="AO4" i="1"/>
  <c r="AO12" i="7"/>
  <c r="AO11" i="7"/>
  <c r="AO10" i="7"/>
  <c r="AO9" i="7"/>
  <c r="AO8" i="7"/>
  <c r="AO7" i="7"/>
  <c r="AO6" i="7"/>
  <c r="AO5" i="7"/>
  <c r="AO4" i="7"/>
  <c r="C9" i="22"/>
  <c r="E9" i="22" s="1"/>
  <c r="C8" i="22"/>
  <c r="E8" i="22" s="1"/>
  <c r="F26" i="22"/>
  <c r="F34" i="22"/>
  <c r="F10" i="22"/>
  <c r="D18" i="21"/>
  <c r="F10" i="21"/>
  <c r="C9" i="20"/>
  <c r="G9" i="20" s="1"/>
  <c r="F10" i="20"/>
  <c r="F9" i="20"/>
  <c r="F8" i="20"/>
  <c r="F26" i="19"/>
  <c r="F25" i="19"/>
  <c r="D15" i="19"/>
  <c r="C10" i="19"/>
  <c r="C9" i="19"/>
  <c r="E9" i="19" s="1"/>
  <c r="F10" i="19"/>
  <c r="F7" i="19"/>
  <c r="F6" i="19"/>
  <c r="C7" i="17"/>
  <c r="G7" i="17" s="1"/>
  <c r="C6" i="17"/>
  <c r="D14" i="16"/>
  <c r="C9" i="16"/>
  <c r="F10" i="16"/>
  <c r="AJ8" i="7"/>
  <c r="D24" i="15"/>
  <c r="D23" i="15"/>
  <c r="D17" i="15"/>
  <c r="M38" i="15"/>
  <c r="M37" i="15"/>
  <c r="M36" i="15"/>
  <c r="M35" i="15"/>
  <c r="M34" i="15"/>
  <c r="M18" i="15"/>
  <c r="M17" i="15"/>
  <c r="M16" i="15"/>
  <c r="M15" i="15"/>
  <c r="M14" i="15"/>
  <c r="O10" i="15"/>
  <c r="M10" i="15"/>
  <c r="O9" i="15"/>
  <c r="M9" i="15"/>
  <c r="O8" i="15"/>
  <c r="M8" i="15"/>
  <c r="O7" i="15"/>
  <c r="M7" i="15"/>
  <c r="O6" i="15"/>
  <c r="M6" i="15"/>
  <c r="D18" i="14"/>
  <c r="F10" i="14"/>
  <c r="F9" i="14"/>
  <c r="F7" i="14"/>
  <c r="C10" i="14"/>
  <c r="C6" i="14"/>
  <c r="M38" i="14"/>
  <c r="M37" i="14"/>
  <c r="M36" i="14"/>
  <c r="M35" i="14"/>
  <c r="M34" i="14"/>
  <c r="M18" i="14"/>
  <c r="M17" i="14"/>
  <c r="M16" i="14"/>
  <c r="M15" i="14"/>
  <c r="M14" i="14"/>
  <c r="O10" i="14"/>
  <c r="M10" i="14"/>
  <c r="O9" i="14"/>
  <c r="M9" i="14"/>
  <c r="O8" i="14"/>
  <c r="M8" i="14"/>
  <c r="O7" i="14"/>
  <c r="M7" i="14"/>
  <c r="O6" i="14"/>
  <c r="M6" i="14"/>
  <c r="E6" i="14"/>
  <c r="M38" i="13"/>
  <c r="M37" i="13"/>
  <c r="M36" i="13"/>
  <c r="M35" i="13"/>
  <c r="M34" i="13"/>
  <c r="M18" i="13"/>
  <c r="M17" i="13"/>
  <c r="M16" i="13"/>
  <c r="M15" i="13"/>
  <c r="M14" i="13"/>
  <c r="O10" i="13"/>
  <c r="O9" i="13"/>
  <c r="O8" i="13"/>
  <c r="O7" i="13"/>
  <c r="O6" i="13"/>
  <c r="M10" i="13"/>
  <c r="M9" i="13"/>
  <c r="M8" i="13"/>
  <c r="M7" i="13"/>
  <c r="M6" i="13"/>
  <c r="D18" i="13"/>
  <c r="AD4" i="1"/>
  <c r="D26" i="12"/>
  <c r="D18" i="12"/>
  <c r="G10" i="12"/>
  <c r="E10" i="12"/>
  <c r="O15" i="12"/>
  <c r="M15" i="12"/>
  <c r="N6" i="12"/>
  <c r="L6" i="12"/>
  <c r="E19" i="11"/>
  <c r="G10" i="11"/>
  <c r="E10" i="11"/>
  <c r="G10" i="10"/>
  <c r="AM12" i="7"/>
  <c r="AL12" i="7"/>
  <c r="AK12" i="7"/>
  <c r="AJ12" i="7"/>
  <c r="AI12" i="7"/>
  <c r="AH12" i="7"/>
  <c r="AG12" i="7"/>
  <c r="AF12" i="7"/>
  <c r="AE12" i="7"/>
  <c r="AD12" i="7"/>
  <c r="AC12" i="7"/>
  <c r="AB12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M8" i="7"/>
  <c r="AL8" i="7"/>
  <c r="AK8" i="7"/>
  <c r="AI8" i="7"/>
  <c r="C10" i="17" s="1"/>
  <c r="E10" i="17" s="1"/>
  <c r="AH8" i="7"/>
  <c r="C10" i="16" s="1"/>
  <c r="AG8" i="7"/>
  <c r="C18" i="19" s="1"/>
  <c r="C10" i="13"/>
  <c r="G10" i="13" s="1"/>
  <c r="AB8" i="7"/>
  <c r="C18" i="12" s="1"/>
  <c r="AM7" i="7"/>
  <c r="AL7" i="7"/>
  <c r="AK7" i="7"/>
  <c r="AJ7" i="7"/>
  <c r="AI7" i="7"/>
  <c r="C9" i="17" s="1"/>
  <c r="AH7" i="7"/>
  <c r="C25" i="19" s="1"/>
  <c r="E25" i="19" s="1"/>
  <c r="AG7" i="7"/>
  <c r="AF7" i="7"/>
  <c r="C9" i="14" s="1"/>
  <c r="AE7" i="7"/>
  <c r="C9" i="13" s="1"/>
  <c r="AD7" i="7"/>
  <c r="C17" i="19" s="1"/>
  <c r="AC7" i="7"/>
  <c r="C9" i="11" s="1"/>
  <c r="AB7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M9" i="7"/>
  <c r="AL9" i="7"/>
  <c r="AK9" i="7"/>
  <c r="AJ9" i="7"/>
  <c r="AI9" i="7"/>
  <c r="AH9" i="7"/>
  <c r="AG9" i="7"/>
  <c r="AF9" i="7"/>
  <c r="AE9" i="7"/>
  <c r="AD9" i="7"/>
  <c r="AC9" i="7"/>
  <c r="AB9" i="7"/>
  <c r="AM6" i="7"/>
  <c r="AL6" i="7"/>
  <c r="C8" i="21" s="1"/>
  <c r="E8" i="21" s="1"/>
  <c r="AK6" i="7"/>
  <c r="C8" i="20" s="1"/>
  <c r="AJ6" i="7"/>
  <c r="C8" i="19" s="1"/>
  <c r="AI6" i="7"/>
  <c r="C8" i="17" s="1"/>
  <c r="AH6" i="7"/>
  <c r="C32" i="22" s="1"/>
  <c r="AG6" i="7"/>
  <c r="AF6" i="7"/>
  <c r="C8" i="14" s="1"/>
  <c r="AE6" i="7"/>
  <c r="C8" i="13" s="1"/>
  <c r="AD6" i="7"/>
  <c r="C8" i="12" s="1"/>
  <c r="E8" i="12" s="1"/>
  <c r="AC6" i="7"/>
  <c r="C8" i="11" s="1"/>
  <c r="AB6" i="7"/>
  <c r="C8" i="10" s="1"/>
  <c r="E8" i="10" s="1"/>
  <c r="AM5" i="7"/>
  <c r="AL5" i="7"/>
  <c r="C7" i="21" s="1"/>
  <c r="E7" i="21" s="1"/>
  <c r="AK5" i="7"/>
  <c r="C7" i="20" s="1"/>
  <c r="E7" i="20" s="1"/>
  <c r="AJ5" i="7"/>
  <c r="C7" i="19" s="1"/>
  <c r="AI5" i="7"/>
  <c r="AH5" i="7"/>
  <c r="C23" i="19" s="1"/>
  <c r="E23" i="19" s="1"/>
  <c r="AG5" i="7"/>
  <c r="C7" i="15" s="1"/>
  <c r="AF5" i="7"/>
  <c r="C7" i="14" s="1"/>
  <c r="AE5" i="7"/>
  <c r="C7" i="13" s="1"/>
  <c r="E7" i="13" s="1"/>
  <c r="AD5" i="7"/>
  <c r="C7" i="12" s="1"/>
  <c r="E7" i="12" s="1"/>
  <c r="AC5" i="7"/>
  <c r="C7" i="11" s="1"/>
  <c r="AB5" i="7"/>
  <c r="C15" i="19" s="1"/>
  <c r="AM4" i="7"/>
  <c r="AL4" i="7"/>
  <c r="C6" i="21" s="1"/>
  <c r="E6" i="21" s="1"/>
  <c r="AK4" i="7"/>
  <c r="AJ4" i="7"/>
  <c r="C6" i="19" s="1"/>
  <c r="G6" i="19" s="1"/>
  <c r="AI4" i="7"/>
  <c r="AH4" i="7"/>
  <c r="C22" i="19" s="1"/>
  <c r="AG4" i="7"/>
  <c r="C6" i="15" s="1"/>
  <c r="E6" i="15" s="1"/>
  <c r="AF4" i="7"/>
  <c r="AE4" i="7"/>
  <c r="C6" i="13" s="1"/>
  <c r="AD4" i="7"/>
  <c r="AC4" i="7"/>
  <c r="C6" i="11" s="1"/>
  <c r="AB4" i="7"/>
  <c r="C14" i="19" s="1"/>
  <c r="J12" i="10"/>
  <c r="E10" i="10"/>
  <c r="AJ22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B30" i="1" s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B27" i="1" s="1"/>
  <c r="AM22" i="1"/>
  <c r="AL22" i="1"/>
  <c r="AK22" i="1"/>
  <c r="AI22" i="1"/>
  <c r="AH22" i="1"/>
  <c r="AG22" i="1"/>
  <c r="AF22" i="1"/>
  <c r="AE22" i="1"/>
  <c r="AD22" i="1"/>
  <c r="AC22" i="1"/>
  <c r="AB22" i="1"/>
  <c r="AM19" i="1"/>
  <c r="AM20" i="1" s="1"/>
  <c r="AL19" i="1"/>
  <c r="AM21" i="1" s="1"/>
  <c r="AK19" i="1"/>
  <c r="AJ19" i="1"/>
  <c r="AI19" i="1"/>
  <c r="AH19" i="1"/>
  <c r="AG19" i="1"/>
  <c r="AF19" i="1"/>
  <c r="AE19" i="1"/>
  <c r="AD19" i="1"/>
  <c r="AC19" i="1"/>
  <c r="AB19" i="1"/>
  <c r="AM16" i="1"/>
  <c r="AM17" i="1" s="1"/>
  <c r="AL16" i="1"/>
  <c r="AK16" i="1"/>
  <c r="AJ16" i="1"/>
  <c r="AI16" i="1"/>
  <c r="AH16" i="1"/>
  <c r="AG16" i="1"/>
  <c r="AF16" i="1"/>
  <c r="AE16" i="1"/>
  <c r="AD16" i="1"/>
  <c r="AC16" i="1"/>
  <c r="AB16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M10" i="1"/>
  <c r="AM11" i="1" s="1"/>
  <c r="AL10" i="1"/>
  <c r="AK10" i="1"/>
  <c r="AJ10" i="1"/>
  <c r="AI10" i="1"/>
  <c r="AH10" i="1"/>
  <c r="AG10" i="1"/>
  <c r="AF10" i="1"/>
  <c r="AE10" i="1"/>
  <c r="AD10" i="1"/>
  <c r="AC10" i="1"/>
  <c r="AB10" i="1"/>
  <c r="AM7" i="1"/>
  <c r="AL7" i="1"/>
  <c r="AK7" i="1"/>
  <c r="AJ7" i="1"/>
  <c r="AI7" i="1"/>
  <c r="AH7" i="1"/>
  <c r="AG7" i="1"/>
  <c r="AF7" i="1"/>
  <c r="AE7" i="1"/>
  <c r="AD7" i="1"/>
  <c r="AC7" i="1"/>
  <c r="AB7" i="1"/>
  <c r="AM4" i="1"/>
  <c r="AL4" i="1"/>
  <c r="AK4" i="1"/>
  <c r="AJ4" i="1"/>
  <c r="AI4" i="1"/>
  <c r="AH4" i="1"/>
  <c r="AG4" i="1"/>
  <c r="AF4" i="1"/>
  <c r="AE4" i="1"/>
  <c r="AC4" i="1"/>
  <c r="AB4" i="1"/>
  <c r="J19" i="9"/>
  <c r="E18" i="9"/>
  <c r="G10" i="9"/>
  <c r="E10" i="9"/>
  <c r="E10" i="8"/>
  <c r="E18" i="8"/>
  <c r="G10" i="8"/>
  <c r="E10" i="6"/>
  <c r="G10" i="6"/>
  <c r="E18" i="6"/>
  <c r="O14" i="5"/>
  <c r="N6" i="5"/>
  <c r="L6" i="5"/>
  <c r="M14" i="5"/>
  <c r="Z12" i="7"/>
  <c r="Z23" i="7" s="1"/>
  <c r="Y12" i="7"/>
  <c r="X12" i="7"/>
  <c r="W12" i="7"/>
  <c r="V12" i="7"/>
  <c r="U12" i="7"/>
  <c r="T12" i="7"/>
  <c r="S12" i="7"/>
  <c r="R12" i="7"/>
  <c r="Q12" i="7"/>
  <c r="P12" i="7"/>
  <c r="O12" i="7"/>
  <c r="N12" i="7"/>
  <c r="N23" i="7" s="1"/>
  <c r="M12" i="7"/>
  <c r="L12" i="7"/>
  <c r="K12" i="7"/>
  <c r="J12" i="7"/>
  <c r="I12" i="7"/>
  <c r="H12" i="7"/>
  <c r="G12" i="7"/>
  <c r="F12" i="7"/>
  <c r="E12" i="7"/>
  <c r="D12" i="7"/>
  <c r="C12" i="7"/>
  <c r="Z11" i="7"/>
  <c r="Z22" i="7" s="1"/>
  <c r="Y11" i="7"/>
  <c r="X11" i="7"/>
  <c r="W11" i="7"/>
  <c r="V11" i="7"/>
  <c r="U11" i="7"/>
  <c r="T11" i="7"/>
  <c r="S11" i="7"/>
  <c r="R11" i="7"/>
  <c r="Q11" i="7"/>
  <c r="P11" i="7"/>
  <c r="O11" i="7"/>
  <c r="N11" i="7"/>
  <c r="N22" i="7" s="1"/>
  <c r="M11" i="7"/>
  <c r="L11" i="7"/>
  <c r="K11" i="7"/>
  <c r="J11" i="7"/>
  <c r="I11" i="7"/>
  <c r="H11" i="7"/>
  <c r="G11" i="7"/>
  <c r="F11" i="7"/>
  <c r="E11" i="7"/>
  <c r="D11" i="7"/>
  <c r="C11" i="7"/>
  <c r="V8" i="7"/>
  <c r="T8" i="7"/>
  <c r="F10" i="15" s="1"/>
  <c r="N8" i="7"/>
  <c r="M8" i="7"/>
  <c r="L8" i="7"/>
  <c r="K8" i="7"/>
  <c r="J8" i="7"/>
  <c r="I8" i="7"/>
  <c r="H8" i="7"/>
  <c r="G8" i="7"/>
  <c r="F8" i="7"/>
  <c r="E8" i="7"/>
  <c r="D8" i="7"/>
  <c r="C8" i="7"/>
  <c r="Z7" i="7"/>
  <c r="C9" i="9" s="1"/>
  <c r="Y7" i="7"/>
  <c r="C28" i="9" s="1"/>
  <c r="X7" i="7"/>
  <c r="C28" i="6" s="1"/>
  <c r="W7" i="7"/>
  <c r="D28" i="6" s="1"/>
  <c r="V7" i="7"/>
  <c r="F9" i="17" s="1"/>
  <c r="U7" i="7"/>
  <c r="F9" i="16" s="1"/>
  <c r="T7" i="7"/>
  <c r="F9" i="15" s="1"/>
  <c r="S7" i="7"/>
  <c r="R7" i="7"/>
  <c r="F9" i="13" s="1"/>
  <c r="Q7" i="7"/>
  <c r="F9" i="12" s="1"/>
  <c r="P7" i="7"/>
  <c r="F9" i="11" s="1"/>
  <c r="O7" i="7"/>
  <c r="D17" i="22" s="1"/>
  <c r="N7" i="7"/>
  <c r="F9" i="9" s="1"/>
  <c r="M7" i="7"/>
  <c r="F28" i="8" s="1"/>
  <c r="L7" i="7"/>
  <c r="F28" i="6" s="1"/>
  <c r="K7" i="7"/>
  <c r="J7" i="7"/>
  <c r="I7" i="7"/>
  <c r="H7" i="7"/>
  <c r="G7" i="7"/>
  <c r="F7" i="7"/>
  <c r="E7" i="7"/>
  <c r="D7" i="7"/>
  <c r="C7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Z6" i="7"/>
  <c r="C8" i="9" s="1"/>
  <c r="Y6" i="7"/>
  <c r="C27" i="9" s="1"/>
  <c r="X6" i="7"/>
  <c r="C27" i="6" s="1"/>
  <c r="W6" i="7"/>
  <c r="D27" i="6" s="1"/>
  <c r="V6" i="7"/>
  <c r="F8" i="17" s="1"/>
  <c r="U6" i="7"/>
  <c r="F8" i="16" s="1"/>
  <c r="T6" i="7"/>
  <c r="S6" i="7"/>
  <c r="F8" i="14" s="1"/>
  <c r="R6" i="7"/>
  <c r="F8" i="13" s="1"/>
  <c r="Q6" i="7"/>
  <c r="F8" i="12" s="1"/>
  <c r="P6" i="7"/>
  <c r="F8" i="11" s="1"/>
  <c r="O6" i="7"/>
  <c r="F8" i="10" s="1"/>
  <c r="N6" i="7"/>
  <c r="F8" i="9" s="1"/>
  <c r="M6" i="7"/>
  <c r="F27" i="9" s="1"/>
  <c r="L6" i="7"/>
  <c r="K6" i="7"/>
  <c r="J6" i="7"/>
  <c r="I6" i="7"/>
  <c r="H6" i="7"/>
  <c r="G6" i="7"/>
  <c r="F6" i="7"/>
  <c r="E6" i="7"/>
  <c r="D6" i="7"/>
  <c r="C6" i="7"/>
  <c r="Z5" i="7"/>
  <c r="C7" i="9" s="1"/>
  <c r="E7" i="9" s="1"/>
  <c r="Y5" i="7"/>
  <c r="C26" i="9" s="1"/>
  <c r="X5" i="7"/>
  <c r="C26" i="6" s="1"/>
  <c r="W5" i="7"/>
  <c r="D26" i="6" s="1"/>
  <c r="V5" i="7"/>
  <c r="F7" i="17" s="1"/>
  <c r="U5" i="7"/>
  <c r="F7" i="16" s="1"/>
  <c r="T5" i="7"/>
  <c r="S5" i="7"/>
  <c r="R5" i="7"/>
  <c r="Q5" i="7"/>
  <c r="F7" i="12" s="1"/>
  <c r="P5" i="7"/>
  <c r="F7" i="11" s="1"/>
  <c r="O5" i="7"/>
  <c r="D15" i="15" s="1"/>
  <c r="N5" i="7"/>
  <c r="F7" i="9" s="1"/>
  <c r="M5" i="7"/>
  <c r="F26" i="8" s="1"/>
  <c r="L5" i="7"/>
  <c r="F26" i="6" s="1"/>
  <c r="K5" i="7"/>
  <c r="J5" i="7"/>
  <c r="I5" i="7"/>
  <c r="H5" i="7"/>
  <c r="G5" i="7"/>
  <c r="F5" i="7"/>
  <c r="E5" i="7"/>
  <c r="D5" i="7"/>
  <c r="C5" i="7"/>
  <c r="Z4" i="7"/>
  <c r="C6" i="9" s="1"/>
  <c r="E6" i="9" s="1"/>
  <c r="Y4" i="7"/>
  <c r="C25" i="9" s="1"/>
  <c r="X4" i="7"/>
  <c r="C25" i="6" s="1"/>
  <c r="W4" i="7"/>
  <c r="D25" i="6" s="1"/>
  <c r="V4" i="7"/>
  <c r="D14" i="20" s="1"/>
  <c r="U4" i="7"/>
  <c r="F6" i="16" s="1"/>
  <c r="T4" i="7"/>
  <c r="F6" i="15" s="1"/>
  <c r="S4" i="7"/>
  <c r="F6" i="14" s="1"/>
  <c r="R4" i="7"/>
  <c r="F6" i="13" s="1"/>
  <c r="Q4" i="7"/>
  <c r="F6" i="12" s="1"/>
  <c r="P4" i="7"/>
  <c r="F6" i="11" s="1"/>
  <c r="O4" i="7"/>
  <c r="F6" i="10" s="1"/>
  <c r="N4" i="7"/>
  <c r="F6" i="9" s="1"/>
  <c r="M4" i="7"/>
  <c r="F6" i="8" s="1"/>
  <c r="L4" i="7"/>
  <c r="K4" i="7"/>
  <c r="J4" i="7"/>
  <c r="I4" i="7"/>
  <c r="H4" i="7"/>
  <c r="G4" i="7"/>
  <c r="F4" i="7"/>
  <c r="E4" i="7"/>
  <c r="D4" i="7"/>
  <c r="C4" i="7"/>
  <c r="F8" i="6"/>
  <c r="Z40" i="1"/>
  <c r="Z25" i="1"/>
  <c r="N28" i="1"/>
  <c r="N41" i="1" s="1"/>
  <c r="M28" i="1"/>
  <c r="L28" i="1"/>
  <c r="K28" i="1"/>
  <c r="J28" i="1"/>
  <c r="I28" i="1"/>
  <c r="H28" i="1"/>
  <c r="G28" i="1"/>
  <c r="F28" i="1"/>
  <c r="E28" i="1"/>
  <c r="D28" i="1"/>
  <c r="C28" i="1"/>
  <c r="N25" i="1"/>
  <c r="N40" i="1" s="1"/>
  <c r="M25" i="1"/>
  <c r="L25" i="1"/>
  <c r="K25" i="1"/>
  <c r="J25" i="1"/>
  <c r="I25" i="1"/>
  <c r="H25" i="1"/>
  <c r="G25" i="1"/>
  <c r="F25" i="1"/>
  <c r="E25" i="1"/>
  <c r="D25" i="1"/>
  <c r="C25" i="1"/>
  <c r="N22" i="1"/>
  <c r="M22" i="1"/>
  <c r="L22" i="1"/>
  <c r="K22" i="1"/>
  <c r="J22" i="1"/>
  <c r="I22" i="1"/>
  <c r="H22" i="1"/>
  <c r="G22" i="1"/>
  <c r="F22" i="1"/>
  <c r="E22" i="1"/>
  <c r="D22" i="1"/>
  <c r="C22" i="1"/>
  <c r="N19" i="1"/>
  <c r="M19" i="1"/>
  <c r="F9" i="8" s="1"/>
  <c r="L19" i="1"/>
  <c r="F9" i="6" s="1"/>
  <c r="K19" i="1"/>
  <c r="F9" i="5" s="1"/>
  <c r="J19" i="1"/>
  <c r="I19" i="1"/>
  <c r="H19" i="1"/>
  <c r="G19" i="1"/>
  <c r="F19" i="1"/>
  <c r="E19" i="1"/>
  <c r="D19" i="1"/>
  <c r="C19" i="1"/>
  <c r="N16" i="1"/>
  <c r="M16" i="1"/>
  <c r="L16" i="1"/>
  <c r="K16" i="1"/>
  <c r="J16" i="1"/>
  <c r="I16" i="1"/>
  <c r="H16" i="1"/>
  <c r="G16" i="1"/>
  <c r="F16" i="1"/>
  <c r="E16" i="1"/>
  <c r="D16" i="1"/>
  <c r="C16" i="1"/>
  <c r="N13" i="1"/>
  <c r="M13" i="1"/>
  <c r="L13" i="1"/>
  <c r="K13" i="1"/>
  <c r="J13" i="1"/>
  <c r="I13" i="1"/>
  <c r="H13" i="1"/>
  <c r="G13" i="1"/>
  <c r="F13" i="1"/>
  <c r="E13" i="1"/>
  <c r="D13" i="1"/>
  <c r="C13" i="1"/>
  <c r="N10" i="1"/>
  <c r="M10" i="1"/>
  <c r="F8" i="8" s="1"/>
  <c r="L10" i="1"/>
  <c r="K10" i="1"/>
  <c r="F8" i="5" s="1"/>
  <c r="J10" i="1"/>
  <c r="I10" i="1"/>
  <c r="H10" i="1"/>
  <c r="G10" i="1"/>
  <c r="F10" i="1"/>
  <c r="E10" i="1"/>
  <c r="D10" i="1"/>
  <c r="C10" i="1"/>
  <c r="N7" i="1"/>
  <c r="M7" i="1"/>
  <c r="F7" i="8" s="1"/>
  <c r="L7" i="1"/>
  <c r="F7" i="6" s="1"/>
  <c r="K7" i="1"/>
  <c r="F7" i="5" s="1"/>
  <c r="J7" i="1"/>
  <c r="I7" i="1"/>
  <c r="H7" i="1"/>
  <c r="G7" i="1"/>
  <c r="F7" i="1"/>
  <c r="E7" i="1"/>
  <c r="D7" i="1"/>
  <c r="C7" i="1"/>
  <c r="N4" i="1"/>
  <c r="M4" i="1"/>
  <c r="L4" i="1"/>
  <c r="F6" i="6" s="1"/>
  <c r="K4" i="1"/>
  <c r="F6" i="5" s="1"/>
  <c r="J4" i="1"/>
  <c r="F5" i="3" s="1"/>
  <c r="I4" i="1"/>
  <c r="H4" i="1"/>
  <c r="G4" i="1"/>
  <c r="F4" i="1"/>
  <c r="E4" i="1"/>
  <c r="D4" i="1"/>
  <c r="C4" i="1"/>
  <c r="Z7" i="1"/>
  <c r="Y7" i="1"/>
  <c r="C7" i="8" s="1"/>
  <c r="E7" i="8" s="1"/>
  <c r="X7" i="1"/>
  <c r="W7" i="1"/>
  <c r="V7" i="1"/>
  <c r="D7" i="5" s="1"/>
  <c r="U7" i="1"/>
  <c r="T7" i="1"/>
  <c r="S7" i="1"/>
  <c r="R7" i="1"/>
  <c r="Q7" i="1"/>
  <c r="P7" i="1"/>
  <c r="P8" i="1" s="1"/>
  <c r="Z10" i="1"/>
  <c r="Y10" i="1"/>
  <c r="C8" i="8" s="1"/>
  <c r="E8" i="8" s="1"/>
  <c r="X10" i="1"/>
  <c r="C8" i="6" s="1"/>
  <c r="W10" i="1"/>
  <c r="V10" i="1"/>
  <c r="D8" i="5" s="1"/>
  <c r="U10" i="1"/>
  <c r="T10" i="1"/>
  <c r="S10" i="1"/>
  <c r="R10" i="1"/>
  <c r="Q10" i="1"/>
  <c r="P10" i="1"/>
  <c r="Z13" i="1"/>
  <c r="Y13" i="1"/>
  <c r="X13" i="1"/>
  <c r="W13" i="1"/>
  <c r="V13" i="1"/>
  <c r="U13" i="1"/>
  <c r="T13" i="1"/>
  <c r="S13" i="1"/>
  <c r="R13" i="1"/>
  <c r="Q13" i="1"/>
  <c r="P13" i="1"/>
  <c r="Z16" i="1"/>
  <c r="Y16" i="1"/>
  <c r="X16" i="1"/>
  <c r="W16" i="1"/>
  <c r="V16" i="1"/>
  <c r="U16" i="1"/>
  <c r="T16" i="1"/>
  <c r="S16" i="1"/>
  <c r="R16" i="1"/>
  <c r="Q16" i="1"/>
  <c r="P16" i="1"/>
  <c r="Z19" i="1"/>
  <c r="Y19" i="1"/>
  <c r="C9" i="8" s="1"/>
  <c r="X19" i="1"/>
  <c r="D9" i="8" s="1"/>
  <c r="W19" i="1"/>
  <c r="C9" i="5" s="1"/>
  <c r="V19" i="1"/>
  <c r="D9" i="5" s="1"/>
  <c r="U19" i="1"/>
  <c r="C23" i="5" s="1"/>
  <c r="T19" i="1"/>
  <c r="S19" i="1"/>
  <c r="R19" i="1"/>
  <c r="D23" i="5" s="1"/>
  <c r="Q19" i="1"/>
  <c r="P19" i="1"/>
  <c r="Z22" i="1"/>
  <c r="Y22" i="1"/>
  <c r="X22" i="1"/>
  <c r="V22" i="1"/>
  <c r="U22" i="1"/>
  <c r="T22" i="1"/>
  <c r="S22" i="1"/>
  <c r="R22" i="1"/>
  <c r="Q22" i="1"/>
  <c r="P22" i="1"/>
  <c r="Z28" i="1"/>
  <c r="Z41" i="1" s="1"/>
  <c r="Y28" i="1"/>
  <c r="X28" i="1"/>
  <c r="W28" i="1"/>
  <c r="V28" i="1"/>
  <c r="U28" i="1"/>
  <c r="T28" i="1"/>
  <c r="S28" i="1"/>
  <c r="R28" i="1"/>
  <c r="Q28" i="1"/>
  <c r="P28" i="1"/>
  <c r="Y25" i="1"/>
  <c r="X25" i="1"/>
  <c r="W25" i="1"/>
  <c r="V25" i="1"/>
  <c r="U25" i="1"/>
  <c r="T25" i="1"/>
  <c r="S25" i="1"/>
  <c r="R25" i="1"/>
  <c r="Q25" i="1"/>
  <c r="P25" i="1"/>
  <c r="O28" i="1"/>
  <c r="O25" i="1"/>
  <c r="O22" i="1"/>
  <c r="O19" i="1"/>
  <c r="O20" i="1" s="1"/>
  <c r="O16" i="1"/>
  <c r="O17" i="1" s="1"/>
  <c r="O13" i="1"/>
  <c r="O10" i="1"/>
  <c r="O7" i="1"/>
  <c r="Z4" i="1"/>
  <c r="Y4" i="1"/>
  <c r="C6" i="8" s="1"/>
  <c r="X4" i="1"/>
  <c r="C6" i="6" s="1"/>
  <c r="W4" i="1"/>
  <c r="V4" i="1"/>
  <c r="C5" i="3" s="1"/>
  <c r="U4" i="1"/>
  <c r="D5" i="3" s="1"/>
  <c r="T4" i="1"/>
  <c r="S4" i="1"/>
  <c r="R4" i="1"/>
  <c r="Q4" i="1"/>
  <c r="P4" i="1"/>
  <c r="O4" i="1"/>
  <c r="G32" i="33" l="1"/>
  <c r="AT18" i="1"/>
  <c r="AT9" i="1"/>
  <c r="D13" i="33" a="1"/>
  <c r="D13" i="33" s="1"/>
  <c r="D14" i="33" a="1"/>
  <c r="D14" i="33" s="1"/>
  <c r="E14" i="33" s="1"/>
  <c r="D11" i="33" a="1"/>
  <c r="D11" i="33" s="1"/>
  <c r="C32" i="33" a="1"/>
  <c r="C32" i="33" s="1"/>
  <c r="E32" i="33" s="1"/>
  <c r="AT15" i="1"/>
  <c r="E30" i="33"/>
  <c r="AT21" i="1"/>
  <c r="AT27" i="1"/>
  <c r="G11" i="33"/>
  <c r="C30" i="33" a="1"/>
  <c r="C30" i="33" s="1"/>
  <c r="G30" i="33" s="1"/>
  <c r="G31" i="33"/>
  <c r="E13" i="33"/>
  <c r="G28" i="33"/>
  <c r="E28" i="33"/>
  <c r="E29" i="33"/>
  <c r="E31" i="33"/>
  <c r="G29" i="33"/>
  <c r="G12" i="33"/>
  <c r="E10" i="33"/>
  <c r="G13" i="33"/>
  <c r="E11" i="33"/>
  <c r="G14" i="33"/>
  <c r="E12" i="33"/>
  <c r="AS12" i="1"/>
  <c r="AS18" i="1"/>
  <c r="AS15" i="1"/>
  <c r="C28" i="27"/>
  <c r="E28" i="27" s="1"/>
  <c r="C10" i="27"/>
  <c r="AS9" i="1"/>
  <c r="C25" i="27"/>
  <c r="E25" i="27" s="1"/>
  <c r="C7" i="27"/>
  <c r="C27" i="27"/>
  <c r="E27" i="27" s="1"/>
  <c r="C9" i="27"/>
  <c r="C26" i="27"/>
  <c r="E26" i="27" s="1"/>
  <c r="C8" i="27"/>
  <c r="C24" i="27"/>
  <c r="E24" i="27" s="1"/>
  <c r="C27" i="25"/>
  <c r="AR9" i="1"/>
  <c r="C28" i="25"/>
  <c r="C16" i="25"/>
  <c r="E16" i="25" s="1"/>
  <c r="AR15" i="1"/>
  <c r="C19" i="25"/>
  <c r="E19" i="25" s="1"/>
  <c r="AR18" i="1"/>
  <c r="AQ27" i="1"/>
  <c r="AR21" i="1"/>
  <c r="AR27" i="1"/>
  <c r="AR30" i="1"/>
  <c r="E26" i="25"/>
  <c r="G24" i="25"/>
  <c r="G25" i="25"/>
  <c r="G7" i="25"/>
  <c r="E9" i="25"/>
  <c r="E6" i="25"/>
  <c r="E10" i="25"/>
  <c r="E8" i="25"/>
  <c r="E7" i="24"/>
  <c r="E9" i="24"/>
  <c r="E6" i="24"/>
  <c r="AQ30" i="1"/>
  <c r="AQ9" i="1"/>
  <c r="AQ18" i="1"/>
  <c r="AP26" i="1"/>
  <c r="AQ12" i="1"/>
  <c r="AQ15" i="1"/>
  <c r="E7" i="23"/>
  <c r="G9" i="23"/>
  <c r="G10" i="23"/>
  <c r="G6" i="23"/>
  <c r="AO9" i="1"/>
  <c r="AO11" i="1"/>
  <c r="AO15" i="1"/>
  <c r="AO17" i="1"/>
  <c r="AO20" i="1"/>
  <c r="AO26" i="1"/>
  <c r="AO30" i="1"/>
  <c r="AP9" i="1"/>
  <c r="AP11" i="1"/>
  <c r="AP14" i="1"/>
  <c r="AP17" i="1"/>
  <c r="AP20" i="1"/>
  <c r="AP30" i="1"/>
  <c r="AQ6" i="1"/>
  <c r="AQ8" i="1"/>
  <c r="AQ11" i="1"/>
  <c r="AQ14" i="1"/>
  <c r="AQ17" i="1"/>
  <c r="AQ20" i="1"/>
  <c r="AR11" i="1"/>
  <c r="AR14" i="1"/>
  <c r="AR17" i="1"/>
  <c r="AR20" i="1"/>
  <c r="AR26" i="1"/>
  <c r="AR29" i="1"/>
  <c r="AS5" i="1"/>
  <c r="AS8" i="1"/>
  <c r="AS11" i="1"/>
  <c r="AS14" i="1"/>
  <c r="AS17" i="1"/>
  <c r="AS20" i="1"/>
  <c r="AS26" i="1"/>
  <c r="AS29" i="1"/>
  <c r="AO27" i="1"/>
  <c r="AP6" i="1"/>
  <c r="AT6" i="1"/>
  <c r="AT8" i="1"/>
  <c r="AT14" i="1"/>
  <c r="AT17" i="1"/>
  <c r="AT20" i="1"/>
  <c r="AT26" i="1"/>
  <c r="AU5" i="1"/>
  <c r="AU8" i="1"/>
  <c r="AU12" i="1"/>
  <c r="AU20" i="1"/>
  <c r="AV14" i="1"/>
  <c r="AV27" i="1"/>
  <c r="AV29" i="1"/>
  <c r="AW12" i="1"/>
  <c r="AX5" i="1"/>
  <c r="AX8" i="1"/>
  <c r="AX11" i="1"/>
  <c r="AX14" i="1"/>
  <c r="AX17" i="1"/>
  <c r="AX20" i="1"/>
  <c r="AX26" i="1"/>
  <c r="AX29" i="1"/>
  <c r="AU26" i="1"/>
  <c r="AV5" i="1"/>
  <c r="AV20" i="1"/>
  <c r="AW5" i="1"/>
  <c r="AW14" i="1"/>
  <c r="AW17" i="1"/>
  <c r="AW20" i="1"/>
  <c r="AW26" i="1"/>
  <c r="AY5" i="1"/>
  <c r="AY8" i="1"/>
  <c r="AY11" i="1"/>
  <c r="AY14" i="1"/>
  <c r="AY17" i="1"/>
  <c r="AY20" i="1"/>
  <c r="AY26" i="1"/>
  <c r="AY29" i="1"/>
  <c r="AZ5" i="1"/>
  <c r="AZ8" i="1"/>
  <c r="AZ11" i="1"/>
  <c r="AZ14" i="1"/>
  <c r="AZ17" i="1"/>
  <c r="AZ20" i="1"/>
  <c r="AZ26" i="1"/>
  <c r="AZ29" i="1"/>
  <c r="E22" i="19"/>
  <c r="E8" i="19"/>
  <c r="G8" i="19"/>
  <c r="C6" i="16"/>
  <c r="E6" i="16" s="1"/>
  <c r="D15" i="17"/>
  <c r="F22" i="19"/>
  <c r="G22" i="19" s="1"/>
  <c r="D14" i="22"/>
  <c r="F30" i="22"/>
  <c r="C7" i="16"/>
  <c r="E7" i="16" s="1"/>
  <c r="D16" i="17"/>
  <c r="F23" i="19"/>
  <c r="D22" i="22"/>
  <c r="F31" i="22"/>
  <c r="K16" i="9"/>
  <c r="C8" i="16"/>
  <c r="E8" i="16" s="1"/>
  <c r="D17" i="17"/>
  <c r="D14" i="19"/>
  <c r="F24" i="19"/>
  <c r="F6" i="21"/>
  <c r="G6" i="21" s="1"/>
  <c r="D23" i="22"/>
  <c r="F32" i="22"/>
  <c r="G32" i="22" s="1"/>
  <c r="G6" i="17"/>
  <c r="F7" i="21"/>
  <c r="F6" i="22"/>
  <c r="D24" i="22"/>
  <c r="F33" i="22"/>
  <c r="D26" i="22"/>
  <c r="F25" i="22"/>
  <c r="D16" i="19"/>
  <c r="F8" i="21"/>
  <c r="G8" i="21" s="1"/>
  <c r="D25" i="22"/>
  <c r="C26" i="22"/>
  <c r="E26" i="22" s="1"/>
  <c r="F9" i="21"/>
  <c r="D16" i="16"/>
  <c r="F8" i="19"/>
  <c r="F8" i="22"/>
  <c r="G8" i="22" s="1"/>
  <c r="Q18" i="1"/>
  <c r="G8" i="20"/>
  <c r="D17" i="16"/>
  <c r="F9" i="19"/>
  <c r="D17" i="20"/>
  <c r="F9" i="22"/>
  <c r="G9" i="22" s="1"/>
  <c r="D30" i="22"/>
  <c r="F24" i="22"/>
  <c r="D18" i="16"/>
  <c r="D18" i="20"/>
  <c r="D14" i="21"/>
  <c r="D18" i="22"/>
  <c r="D31" i="22"/>
  <c r="F23" i="22"/>
  <c r="D22" i="5"/>
  <c r="G6" i="14"/>
  <c r="C30" i="22"/>
  <c r="E30" i="22" s="1"/>
  <c r="C31" i="22"/>
  <c r="G31" i="22" s="1"/>
  <c r="C16" i="20"/>
  <c r="E16" i="20" s="1"/>
  <c r="C33" i="22"/>
  <c r="G33" i="22" s="1"/>
  <c r="E7" i="17"/>
  <c r="G10" i="17"/>
  <c r="C24" i="19"/>
  <c r="D15" i="21"/>
  <c r="D15" i="22"/>
  <c r="D32" i="22"/>
  <c r="E32" i="22" s="1"/>
  <c r="F22" i="22"/>
  <c r="G8" i="17"/>
  <c r="F6" i="17"/>
  <c r="D17" i="19"/>
  <c r="E17" i="19" s="1"/>
  <c r="D15" i="20"/>
  <c r="D17" i="14"/>
  <c r="D16" i="20"/>
  <c r="C17" i="14"/>
  <c r="E17" i="14" s="1"/>
  <c r="F6" i="20"/>
  <c r="D16" i="21"/>
  <c r="D16" i="22"/>
  <c r="D33" i="22"/>
  <c r="C6" i="22"/>
  <c r="E6" i="22" s="1"/>
  <c r="G9" i="17"/>
  <c r="D15" i="16"/>
  <c r="F7" i="22"/>
  <c r="D18" i="17"/>
  <c r="D18" i="19"/>
  <c r="AB15" i="1"/>
  <c r="D14" i="17"/>
  <c r="C26" i="19"/>
  <c r="F7" i="20"/>
  <c r="C16" i="19"/>
  <c r="D17" i="21"/>
  <c r="D34" i="22"/>
  <c r="C7" i="22"/>
  <c r="E7" i="22" s="1"/>
  <c r="C10" i="22"/>
  <c r="G10" i="22" s="1"/>
  <c r="C16" i="22"/>
  <c r="E16" i="22" s="1"/>
  <c r="C18" i="22"/>
  <c r="E18" i="22" s="1"/>
  <c r="C34" i="22"/>
  <c r="E34" i="22" s="1"/>
  <c r="C18" i="20"/>
  <c r="C15" i="17"/>
  <c r="E15" i="17" s="1"/>
  <c r="C18" i="21"/>
  <c r="E18" i="21" s="1"/>
  <c r="C14" i="21"/>
  <c r="E14" i="21" s="1"/>
  <c r="C22" i="22"/>
  <c r="C14" i="20"/>
  <c r="E14" i="20" s="1"/>
  <c r="C23" i="22"/>
  <c r="G23" i="22" s="1"/>
  <c r="C15" i="20"/>
  <c r="C17" i="20"/>
  <c r="E17" i="20" s="1"/>
  <c r="C24" i="22"/>
  <c r="G26" i="22"/>
  <c r="C25" i="22"/>
  <c r="G25" i="22" s="1"/>
  <c r="C15" i="22"/>
  <c r="E15" i="22" s="1"/>
  <c r="C17" i="22"/>
  <c r="E17" i="22" s="1"/>
  <c r="E31" i="22"/>
  <c r="G7" i="22"/>
  <c r="G6" i="22"/>
  <c r="AM27" i="1"/>
  <c r="AM30" i="1"/>
  <c r="C15" i="16"/>
  <c r="E15" i="16" s="1"/>
  <c r="C16" i="16"/>
  <c r="E16" i="16" s="1"/>
  <c r="C17" i="17"/>
  <c r="E17" i="17" s="1"/>
  <c r="C15" i="21"/>
  <c r="E15" i="21" s="1"/>
  <c r="C16" i="21"/>
  <c r="E16" i="21" s="1"/>
  <c r="C17" i="21"/>
  <c r="E17" i="21" s="1"/>
  <c r="C9" i="21"/>
  <c r="C10" i="21"/>
  <c r="G10" i="21" s="1"/>
  <c r="G7" i="21"/>
  <c r="C10" i="20"/>
  <c r="E10" i="20" s="1"/>
  <c r="E14" i="19"/>
  <c r="E18" i="19"/>
  <c r="C6" i="20"/>
  <c r="E6" i="20" s="1"/>
  <c r="G7" i="20"/>
  <c r="E9" i="20"/>
  <c r="E8" i="20"/>
  <c r="G23" i="19"/>
  <c r="G25" i="19"/>
  <c r="C17" i="16"/>
  <c r="E17" i="16" s="1"/>
  <c r="E15" i="19"/>
  <c r="E16" i="19"/>
  <c r="AK6" i="1"/>
  <c r="AK9" i="1"/>
  <c r="C14" i="16"/>
  <c r="E14" i="16" s="1"/>
  <c r="C14" i="17"/>
  <c r="C16" i="17"/>
  <c r="G7" i="19"/>
  <c r="G10" i="19"/>
  <c r="G9" i="19"/>
  <c r="E7" i="19"/>
  <c r="E10" i="19"/>
  <c r="E6" i="19"/>
  <c r="C18" i="17"/>
  <c r="AJ9" i="1"/>
  <c r="AJ6" i="1"/>
  <c r="AJ15" i="1"/>
  <c r="AJ12" i="1"/>
  <c r="AJ21" i="1"/>
  <c r="AI8" i="1"/>
  <c r="F10" i="17"/>
  <c r="E8" i="17"/>
  <c r="E6" i="17"/>
  <c r="E9" i="17"/>
  <c r="C18" i="16"/>
  <c r="AI27" i="1"/>
  <c r="AI21" i="1"/>
  <c r="AI15" i="1"/>
  <c r="AI30" i="1"/>
  <c r="G10" i="16"/>
  <c r="G8" i="14"/>
  <c r="E8" i="14"/>
  <c r="G7" i="14"/>
  <c r="E7" i="14"/>
  <c r="C17" i="15"/>
  <c r="E17" i="15" s="1"/>
  <c r="C16" i="14"/>
  <c r="D25" i="15"/>
  <c r="C26" i="15"/>
  <c r="C15" i="14"/>
  <c r="E15" i="14" s="1"/>
  <c r="C25" i="15"/>
  <c r="E25" i="15" s="1"/>
  <c r="D26" i="15"/>
  <c r="C14" i="14"/>
  <c r="C18" i="14"/>
  <c r="E18" i="14" s="1"/>
  <c r="C24" i="15"/>
  <c r="E24" i="15" s="1"/>
  <c r="D14" i="14"/>
  <c r="F7" i="15"/>
  <c r="G7" i="15" s="1"/>
  <c r="D15" i="14"/>
  <c r="F8" i="15"/>
  <c r="G8" i="15" s="1"/>
  <c r="C16" i="15"/>
  <c r="E16" i="15" s="1"/>
  <c r="C16" i="11"/>
  <c r="C18" i="11"/>
  <c r="D16" i="14"/>
  <c r="D16" i="15"/>
  <c r="E9" i="16"/>
  <c r="D18" i="15"/>
  <c r="G9" i="14"/>
  <c r="D14" i="15"/>
  <c r="C22" i="15"/>
  <c r="C27" i="8"/>
  <c r="D22" i="15"/>
  <c r="C23" i="15"/>
  <c r="E23" i="15" s="1"/>
  <c r="G6" i="16"/>
  <c r="G8" i="16"/>
  <c r="E10" i="16"/>
  <c r="C8" i="15"/>
  <c r="E8" i="15" s="1"/>
  <c r="AH15" i="1"/>
  <c r="C15" i="15"/>
  <c r="C9" i="15"/>
  <c r="G9" i="15" s="1"/>
  <c r="AH9" i="1"/>
  <c r="AH27" i="1"/>
  <c r="C10" i="15"/>
  <c r="E10" i="15" s="1"/>
  <c r="AH6" i="1"/>
  <c r="AH12" i="1"/>
  <c r="C18" i="15"/>
  <c r="C14" i="15"/>
  <c r="G6" i="15"/>
  <c r="E15" i="15"/>
  <c r="E14" i="15"/>
  <c r="E7" i="15"/>
  <c r="E9" i="15"/>
  <c r="G10" i="14"/>
  <c r="E10" i="14"/>
  <c r="AG18" i="1"/>
  <c r="AF8" i="1"/>
  <c r="E9" i="14"/>
  <c r="AL18" i="1"/>
  <c r="N37" i="1"/>
  <c r="AM15" i="1"/>
  <c r="E9" i="8"/>
  <c r="AB18" i="1"/>
  <c r="D6" i="5"/>
  <c r="AC9" i="1"/>
  <c r="AC12" i="1"/>
  <c r="AC15" i="1"/>
  <c r="AC18" i="1"/>
  <c r="AC21" i="1"/>
  <c r="AC6" i="1"/>
  <c r="P6" i="1"/>
  <c r="D21" i="5"/>
  <c r="C9" i="6"/>
  <c r="E9" i="6" s="1"/>
  <c r="AM41" i="1"/>
  <c r="C9" i="10"/>
  <c r="E9" i="10" s="1"/>
  <c r="C14" i="6"/>
  <c r="E14" i="6" s="1"/>
  <c r="D17" i="12"/>
  <c r="C22" i="5"/>
  <c r="G22" i="5" s="1"/>
  <c r="AH30" i="1"/>
  <c r="U18" i="1"/>
  <c r="T21" i="1"/>
  <c r="V15" i="1"/>
  <c r="W12" i="1"/>
  <c r="W15" i="1"/>
  <c r="AF9" i="1"/>
  <c r="AD18" i="1"/>
  <c r="R30" i="1"/>
  <c r="O6" i="1"/>
  <c r="C7" i="5"/>
  <c r="E7" i="5" s="1"/>
  <c r="W6" i="1"/>
  <c r="P27" i="1"/>
  <c r="D14" i="6"/>
  <c r="D14" i="5"/>
  <c r="N35" i="1"/>
  <c r="N36" i="1"/>
  <c r="D16" i="5"/>
  <c r="E16" i="5" s="1"/>
  <c r="I14" i="9"/>
  <c r="I15" i="9"/>
  <c r="I16" i="9"/>
  <c r="I17" i="9"/>
  <c r="AG9" i="1"/>
  <c r="AG12" i="1"/>
  <c r="AG15" i="1"/>
  <c r="C17" i="6"/>
  <c r="C26" i="12"/>
  <c r="G26" i="12" s="1"/>
  <c r="X9" i="1"/>
  <c r="C14" i="8"/>
  <c r="C15" i="8"/>
  <c r="E15" i="8" s="1"/>
  <c r="W30" i="1"/>
  <c r="P12" i="1"/>
  <c r="AI6" i="1"/>
  <c r="AI9" i="1"/>
  <c r="AI12" i="1"/>
  <c r="AH18" i="1"/>
  <c r="D22" i="12"/>
  <c r="D26" i="9"/>
  <c r="E26" i="9" s="1"/>
  <c r="C15" i="11"/>
  <c r="K14" i="9"/>
  <c r="F26" i="9"/>
  <c r="G26" i="9" s="1"/>
  <c r="AL6" i="1"/>
  <c r="AL9" i="1"/>
  <c r="AK18" i="1"/>
  <c r="AK21" i="1"/>
  <c r="AJ27" i="1"/>
  <c r="AJ30" i="1"/>
  <c r="C14" i="12"/>
  <c r="C15" i="5"/>
  <c r="E15" i="5" s="1"/>
  <c r="C21" i="5"/>
  <c r="D13" i="5"/>
  <c r="D15" i="6"/>
  <c r="F22" i="5"/>
  <c r="F23" i="5"/>
  <c r="G23" i="5" s="1"/>
  <c r="D32" i="6"/>
  <c r="E32" i="6" s="1"/>
  <c r="D15" i="12"/>
  <c r="K15" i="9"/>
  <c r="AB9" i="1"/>
  <c r="AB12" i="1"/>
  <c r="AB14" i="1"/>
  <c r="AL27" i="1"/>
  <c r="C26" i="8"/>
  <c r="G26" i="8" s="1"/>
  <c r="AB21" i="1"/>
  <c r="C16" i="13"/>
  <c r="C14" i="13"/>
  <c r="E9" i="5"/>
  <c r="D15" i="11"/>
  <c r="G9" i="13"/>
  <c r="F21" i="5"/>
  <c r="D14" i="8"/>
  <c r="AG21" i="1"/>
  <c r="D16" i="11"/>
  <c r="O26" i="1"/>
  <c r="P30" i="1"/>
  <c r="D15" i="5"/>
  <c r="D16" i="6"/>
  <c r="C33" i="8"/>
  <c r="F27" i="8"/>
  <c r="D15" i="8"/>
  <c r="AL12" i="1"/>
  <c r="AL15" i="1"/>
  <c r="AJ18" i="1"/>
  <c r="AH21" i="1"/>
  <c r="AG27" i="1"/>
  <c r="AG30" i="1"/>
  <c r="D17" i="11"/>
  <c r="D23" i="12"/>
  <c r="C15" i="13"/>
  <c r="N38" i="1"/>
  <c r="AM9" i="1"/>
  <c r="AK12" i="1"/>
  <c r="AK15" i="1"/>
  <c r="AI18" i="1"/>
  <c r="G5" i="3"/>
  <c r="O30" i="1"/>
  <c r="D17" i="6"/>
  <c r="E17" i="6" s="1"/>
  <c r="D16" i="8"/>
  <c r="F28" i="9"/>
  <c r="G28" i="9" s="1"/>
  <c r="D18" i="11"/>
  <c r="E18" i="11" s="1"/>
  <c r="D24" i="12"/>
  <c r="D17" i="8"/>
  <c r="AM40" i="1"/>
  <c r="D25" i="12"/>
  <c r="D14" i="13"/>
  <c r="D15" i="13"/>
  <c r="S30" i="1"/>
  <c r="C16" i="5"/>
  <c r="C20" i="5"/>
  <c r="F25" i="6"/>
  <c r="G25" i="6" s="1"/>
  <c r="AG6" i="1"/>
  <c r="AD12" i="1"/>
  <c r="AD15" i="1"/>
  <c r="AI17" i="1"/>
  <c r="AL21" i="1"/>
  <c r="AK27" i="1"/>
  <c r="AK30" i="1"/>
  <c r="D14" i="12"/>
  <c r="D16" i="13"/>
  <c r="T30" i="1"/>
  <c r="AM18" i="1"/>
  <c r="AL30" i="1"/>
  <c r="D17" i="13"/>
  <c r="C16" i="6"/>
  <c r="E16" i="6" s="1"/>
  <c r="U30" i="1"/>
  <c r="T27" i="1"/>
  <c r="Q9" i="1"/>
  <c r="D20" i="5"/>
  <c r="F27" i="6"/>
  <c r="G27" i="6" s="1"/>
  <c r="H17" i="9"/>
  <c r="C17" i="11"/>
  <c r="D16" i="12"/>
  <c r="S27" i="1"/>
  <c r="P5" i="1"/>
  <c r="O11" i="1"/>
  <c r="U27" i="1"/>
  <c r="P15" i="1"/>
  <c r="Q12" i="1"/>
  <c r="R9" i="1"/>
  <c r="N34" i="1"/>
  <c r="F20" i="5"/>
  <c r="G20" i="5" s="1"/>
  <c r="C16" i="8"/>
  <c r="AM37" i="1"/>
  <c r="AB6" i="1"/>
  <c r="F7" i="13"/>
  <c r="G7" i="13" s="1"/>
  <c r="O8" i="1"/>
  <c r="Q5" i="1"/>
  <c r="O14" i="1"/>
  <c r="V27" i="1"/>
  <c r="P18" i="1"/>
  <c r="Q15" i="1"/>
  <c r="C8" i="5"/>
  <c r="E8" i="5" s="1"/>
  <c r="C14" i="5"/>
  <c r="C17" i="8"/>
  <c r="AC26" i="1"/>
  <c r="AC29" i="1"/>
  <c r="C25" i="12"/>
  <c r="G25" i="12" s="1"/>
  <c r="Z36" i="1"/>
  <c r="P21" i="1"/>
  <c r="D32" i="8"/>
  <c r="E32" i="8" s="1"/>
  <c r="D33" i="8"/>
  <c r="E33" i="8" s="1"/>
  <c r="C33" i="9"/>
  <c r="D34" i="8"/>
  <c r="E34" i="8" s="1"/>
  <c r="D35" i="9"/>
  <c r="E35" i="9" s="1"/>
  <c r="C35" i="8"/>
  <c r="C25" i="8"/>
  <c r="D25" i="9"/>
  <c r="E25" i="9" s="1"/>
  <c r="AI14" i="1"/>
  <c r="AD27" i="1"/>
  <c r="AD30" i="1"/>
  <c r="G8" i="13"/>
  <c r="C17" i="13"/>
  <c r="E6" i="13"/>
  <c r="G6" i="13"/>
  <c r="AF27" i="1"/>
  <c r="AF30" i="1"/>
  <c r="AF12" i="1"/>
  <c r="AF18" i="1"/>
  <c r="AF15" i="1"/>
  <c r="C18" i="13"/>
  <c r="E18" i="13" s="1"/>
  <c r="AF21" i="1"/>
  <c r="AF6" i="1"/>
  <c r="E10" i="13"/>
  <c r="E8" i="13"/>
  <c r="E9" i="13"/>
  <c r="AE18" i="1"/>
  <c r="C15" i="12"/>
  <c r="C9" i="12"/>
  <c r="E9" i="12" s="1"/>
  <c r="C16" i="12"/>
  <c r="E16" i="12" s="1"/>
  <c r="C17" i="12"/>
  <c r="E17" i="12" s="1"/>
  <c r="AE21" i="1"/>
  <c r="AE27" i="1"/>
  <c r="AE30" i="1"/>
  <c r="C22" i="12"/>
  <c r="G22" i="12" s="1"/>
  <c r="C23" i="12"/>
  <c r="AE6" i="1"/>
  <c r="AM35" i="1"/>
  <c r="C24" i="12"/>
  <c r="E24" i="12" s="1"/>
  <c r="AM36" i="1"/>
  <c r="AE12" i="1"/>
  <c r="AE15" i="1"/>
  <c r="C6" i="12"/>
  <c r="E6" i="12" s="1"/>
  <c r="E18" i="12"/>
  <c r="G8" i="12"/>
  <c r="E6" i="11"/>
  <c r="G7" i="12"/>
  <c r="E7" i="11"/>
  <c r="G8" i="11"/>
  <c r="G9" i="11"/>
  <c r="F25" i="8"/>
  <c r="F25" i="9"/>
  <c r="G25" i="9" s="1"/>
  <c r="D15" i="9"/>
  <c r="C6" i="10"/>
  <c r="D25" i="8"/>
  <c r="C32" i="8"/>
  <c r="D6" i="8"/>
  <c r="E6" i="8" s="1"/>
  <c r="C32" i="9"/>
  <c r="D16" i="9"/>
  <c r="C7" i="10"/>
  <c r="E7" i="10" s="1"/>
  <c r="D32" i="9"/>
  <c r="C34" i="8"/>
  <c r="D14" i="9"/>
  <c r="D33" i="9"/>
  <c r="F7" i="10"/>
  <c r="C34" i="9"/>
  <c r="D33" i="6"/>
  <c r="E33" i="6" s="1"/>
  <c r="C28" i="8"/>
  <c r="G28" i="8" s="1"/>
  <c r="D27" i="9"/>
  <c r="E27" i="9" s="1"/>
  <c r="D34" i="9"/>
  <c r="E34" i="9" s="1"/>
  <c r="C17" i="9"/>
  <c r="G27" i="9"/>
  <c r="D34" i="6"/>
  <c r="E34" i="6" s="1"/>
  <c r="D26" i="8"/>
  <c r="C35" i="9"/>
  <c r="D17" i="9"/>
  <c r="K17" i="9"/>
  <c r="F9" i="10"/>
  <c r="E25" i="6"/>
  <c r="D35" i="6"/>
  <c r="E35" i="6" s="1"/>
  <c r="D27" i="8"/>
  <c r="D35" i="8"/>
  <c r="E35" i="8" s="1"/>
  <c r="H14" i="9"/>
  <c r="D28" i="8"/>
  <c r="H15" i="9"/>
  <c r="D28" i="9"/>
  <c r="E28" i="9" s="1"/>
  <c r="H16" i="9"/>
  <c r="L16" i="9" s="1"/>
  <c r="G8" i="10"/>
  <c r="E9" i="11"/>
  <c r="AD9" i="1"/>
  <c r="AM33" i="1"/>
  <c r="AM34" i="1"/>
  <c r="AD6" i="1"/>
  <c r="AM38" i="1"/>
  <c r="AD21" i="1"/>
  <c r="G6" i="11"/>
  <c r="G7" i="11"/>
  <c r="E8" i="11"/>
  <c r="AM6" i="1"/>
  <c r="AM8" i="1"/>
  <c r="AM12" i="1"/>
  <c r="AM14" i="1"/>
  <c r="AB29" i="1"/>
  <c r="AB17" i="1"/>
  <c r="AB20" i="1"/>
  <c r="AC27" i="1"/>
  <c r="AC30" i="1"/>
  <c r="AC8" i="1"/>
  <c r="AC11" i="1"/>
  <c r="AC14" i="1"/>
  <c r="AC17" i="1"/>
  <c r="AC20" i="1"/>
  <c r="AD26" i="1"/>
  <c r="AD29" i="1"/>
  <c r="AB8" i="1"/>
  <c r="AB11" i="1"/>
  <c r="AD8" i="1"/>
  <c r="AD11" i="1"/>
  <c r="AD14" i="1"/>
  <c r="AD17" i="1"/>
  <c r="AD20" i="1"/>
  <c r="AE26" i="1"/>
  <c r="AE29" i="1"/>
  <c r="AE8" i="1"/>
  <c r="AE9" i="1"/>
  <c r="AE11" i="1"/>
  <c r="AE14" i="1"/>
  <c r="AE17" i="1"/>
  <c r="AE20" i="1"/>
  <c r="AF26" i="1"/>
  <c r="AF29" i="1"/>
  <c r="AB26" i="1"/>
  <c r="AF11" i="1"/>
  <c r="AF14" i="1"/>
  <c r="AF17" i="1"/>
  <c r="AF20" i="1"/>
  <c r="AG26" i="1"/>
  <c r="AG29" i="1"/>
  <c r="AG8" i="1"/>
  <c r="AG11" i="1"/>
  <c r="AG14" i="1"/>
  <c r="AG17" i="1"/>
  <c r="AG20" i="1"/>
  <c r="AH26" i="1"/>
  <c r="AH29" i="1"/>
  <c r="AH8" i="1"/>
  <c r="AH11" i="1"/>
  <c r="AH14" i="1"/>
  <c r="AH17" i="1"/>
  <c r="AH20" i="1"/>
  <c r="AI26" i="1"/>
  <c r="AI29" i="1"/>
  <c r="AI11" i="1"/>
  <c r="AI20" i="1"/>
  <c r="AJ26" i="1"/>
  <c r="AJ29" i="1"/>
  <c r="AJ8" i="1"/>
  <c r="AJ11" i="1"/>
  <c r="AJ14" i="1"/>
  <c r="AJ17" i="1"/>
  <c r="AJ20" i="1"/>
  <c r="AK26" i="1"/>
  <c r="AK29" i="1"/>
  <c r="AK8" i="1"/>
  <c r="AK11" i="1"/>
  <c r="AK14" i="1"/>
  <c r="AK17" i="1"/>
  <c r="AK20" i="1"/>
  <c r="AL26" i="1"/>
  <c r="AL29" i="1"/>
  <c r="AL8" i="1"/>
  <c r="AL11" i="1"/>
  <c r="AL14" i="1"/>
  <c r="AL17" i="1"/>
  <c r="AL20" i="1"/>
  <c r="AM26" i="1"/>
  <c r="AM29" i="1"/>
  <c r="J17" i="9"/>
  <c r="E9" i="9"/>
  <c r="G8" i="9"/>
  <c r="C14" i="9"/>
  <c r="C15" i="9"/>
  <c r="C16" i="9"/>
  <c r="Z37" i="1"/>
  <c r="G9" i="9"/>
  <c r="G6" i="9"/>
  <c r="G7" i="9"/>
  <c r="E8" i="9"/>
  <c r="G7" i="8"/>
  <c r="E14" i="8"/>
  <c r="G8" i="8"/>
  <c r="Z21" i="1"/>
  <c r="Z9" i="1"/>
  <c r="Z38" i="1"/>
  <c r="Z12" i="1"/>
  <c r="Z6" i="1"/>
  <c r="G6" i="8"/>
  <c r="G9" i="8"/>
  <c r="Y9" i="1"/>
  <c r="Y12" i="1"/>
  <c r="Z34" i="1"/>
  <c r="C32" i="6"/>
  <c r="C33" i="6"/>
  <c r="X5" i="1"/>
  <c r="C34" i="6"/>
  <c r="C35" i="6"/>
  <c r="C15" i="6"/>
  <c r="Y15" i="1"/>
  <c r="C7" i="6"/>
  <c r="G7" i="6" s="1"/>
  <c r="E28" i="6"/>
  <c r="G26" i="6"/>
  <c r="E26" i="6"/>
  <c r="G8" i="6"/>
  <c r="E27" i="6"/>
  <c r="G28" i="6"/>
  <c r="N16" i="7"/>
  <c r="N19" i="7"/>
  <c r="N15" i="7"/>
  <c r="Z15" i="7"/>
  <c r="Z16" i="7"/>
  <c r="N20" i="7"/>
  <c r="N18" i="7"/>
  <c r="N17" i="7"/>
  <c r="Z17" i="7"/>
  <c r="Z19" i="7"/>
  <c r="Z20" i="7"/>
  <c r="Z18" i="7"/>
  <c r="G6" i="6"/>
  <c r="E15" i="6"/>
  <c r="E8" i="6"/>
  <c r="E6" i="6"/>
  <c r="G9" i="5"/>
  <c r="E14" i="5"/>
  <c r="E23" i="5"/>
  <c r="Z35" i="1"/>
  <c r="X30" i="1"/>
  <c r="Z33" i="1"/>
  <c r="X18" i="1"/>
  <c r="C13" i="5"/>
  <c r="E13" i="5" s="1"/>
  <c r="C6" i="5"/>
  <c r="G6" i="5" s="1"/>
  <c r="W18" i="1"/>
  <c r="X12" i="1"/>
  <c r="R12" i="1"/>
  <c r="Y27" i="1"/>
  <c r="R18" i="1"/>
  <c r="R21" i="1"/>
  <c r="S18" i="1"/>
  <c r="T15" i="1"/>
  <c r="U12" i="1"/>
  <c r="V9" i="1"/>
  <c r="O9" i="1"/>
  <c r="S5" i="1"/>
  <c r="T12" i="1"/>
  <c r="Q30" i="1"/>
  <c r="S21" i="1"/>
  <c r="T17" i="1"/>
  <c r="U15" i="1"/>
  <c r="V12" i="1"/>
  <c r="W9" i="1"/>
  <c r="P9" i="1"/>
  <c r="R5" i="1"/>
  <c r="Z30" i="1"/>
  <c r="Q21" i="1"/>
  <c r="Y30" i="1"/>
  <c r="S12" i="1"/>
  <c r="S15" i="1"/>
  <c r="Q6" i="1"/>
  <c r="X6" i="1"/>
  <c r="Q27" i="1"/>
  <c r="U21" i="1"/>
  <c r="O12" i="1"/>
  <c r="O18" i="1"/>
  <c r="X27" i="1"/>
  <c r="Y6" i="1"/>
  <c r="R27" i="1"/>
  <c r="W21" i="1"/>
  <c r="X15" i="1"/>
  <c r="W27" i="1"/>
  <c r="R15" i="1"/>
  <c r="D8" i="3"/>
  <c r="Z27" i="1"/>
  <c r="T9" i="1"/>
  <c r="C8" i="3"/>
  <c r="X21" i="1"/>
  <c r="Y18" i="1"/>
  <c r="Z15" i="1"/>
  <c r="Z5" i="1"/>
  <c r="O15" i="1"/>
  <c r="N33" i="1"/>
  <c r="S9" i="1"/>
  <c r="T5" i="1"/>
  <c r="U9" i="1"/>
  <c r="Y21" i="1"/>
  <c r="Z18" i="1"/>
  <c r="Y5" i="1"/>
  <c r="W5" i="1"/>
  <c r="R6" i="1"/>
  <c r="V30" i="1"/>
  <c r="V5" i="1"/>
  <c r="S6" i="1"/>
  <c r="U5" i="1"/>
  <c r="T6" i="1"/>
  <c r="T18" i="1"/>
  <c r="U6" i="1"/>
  <c r="V6" i="1"/>
  <c r="O27" i="1"/>
  <c r="O5" i="1"/>
  <c r="O21" i="1"/>
  <c r="E5" i="3"/>
  <c r="V18" i="1"/>
  <c r="V21" i="1"/>
  <c r="U17" i="1"/>
  <c r="Z14" i="1"/>
  <c r="P20" i="1"/>
  <c r="V26" i="1"/>
  <c r="Y14" i="1"/>
  <c r="Z11" i="1"/>
  <c r="Q20" i="1"/>
  <c r="R17" i="1"/>
  <c r="S14" i="1"/>
  <c r="R8" i="1"/>
  <c r="Q11" i="1"/>
  <c r="V20" i="1"/>
  <c r="W17" i="1"/>
  <c r="X14" i="1"/>
  <c r="Z8" i="1"/>
  <c r="R26" i="1"/>
  <c r="Q29" i="1"/>
  <c r="P26" i="1"/>
  <c r="W11" i="1"/>
  <c r="X8" i="1"/>
  <c r="Q26" i="1"/>
  <c r="Z20" i="1"/>
  <c r="P14" i="1"/>
  <c r="Q14" i="1"/>
  <c r="R11" i="1"/>
  <c r="P17" i="1"/>
  <c r="R20" i="1"/>
  <c r="S17" i="1"/>
  <c r="R29" i="1"/>
  <c r="V17" i="1"/>
  <c r="Y8" i="1"/>
  <c r="T26" i="1"/>
  <c r="U26" i="1"/>
  <c r="Q8" i="1"/>
  <c r="Y26" i="1"/>
  <c r="S26" i="1"/>
  <c r="W26" i="1"/>
  <c r="Z26" i="1"/>
  <c r="W14" i="1"/>
  <c r="X11" i="1"/>
  <c r="P11" i="1"/>
  <c r="Z17" i="1"/>
  <c r="Q17" i="1"/>
  <c r="X17" i="1"/>
  <c r="P29" i="1"/>
  <c r="V11" i="1"/>
  <c r="U14" i="1"/>
  <c r="V14" i="1"/>
  <c r="X26" i="1"/>
  <c r="T11" i="1"/>
  <c r="U11" i="1"/>
  <c r="Y11" i="1"/>
  <c r="S11" i="1"/>
  <c r="R14" i="1"/>
  <c r="T14" i="1"/>
  <c r="Y17" i="1"/>
  <c r="S20" i="1"/>
  <c r="W20" i="1"/>
  <c r="X20" i="1"/>
  <c r="Y20" i="1"/>
  <c r="T20" i="1"/>
  <c r="U20" i="1"/>
  <c r="S29" i="1"/>
  <c r="T29" i="1"/>
  <c r="U29" i="1"/>
  <c r="V29" i="1"/>
  <c r="W29" i="1"/>
  <c r="X29" i="1"/>
  <c r="Y29" i="1"/>
  <c r="Z29" i="1"/>
  <c r="O29" i="1"/>
  <c r="S8" i="1"/>
  <c r="T8" i="1"/>
  <c r="U8" i="1"/>
  <c r="V8" i="1"/>
  <c r="W8" i="1"/>
  <c r="G8" i="27" l="1"/>
  <c r="E8" i="27"/>
  <c r="G7" i="27"/>
  <c r="E7" i="27"/>
  <c r="E9" i="27"/>
  <c r="G9" i="27"/>
  <c r="E10" i="27"/>
  <c r="G10" i="27"/>
  <c r="E6" i="27"/>
  <c r="G6" i="27"/>
  <c r="E28" i="25"/>
  <c r="G28" i="25"/>
  <c r="E27" i="25"/>
  <c r="G27" i="25"/>
  <c r="E25" i="22"/>
  <c r="E14" i="22"/>
  <c r="E18" i="20"/>
  <c r="E18" i="17"/>
  <c r="G25" i="8"/>
  <c r="E33" i="22"/>
  <c r="E15" i="13"/>
  <c r="G30" i="22"/>
  <c r="L15" i="9"/>
  <c r="G7" i="16"/>
  <c r="G22" i="22"/>
  <c r="G27" i="8"/>
  <c r="E15" i="20"/>
  <c r="E22" i="5"/>
  <c r="E10" i="22"/>
  <c r="G7" i="5"/>
  <c r="G9" i="6"/>
  <c r="G21" i="5"/>
  <c r="E16" i="17"/>
  <c r="G6" i="20"/>
  <c r="E18" i="16"/>
  <c r="E17" i="8"/>
  <c r="G8" i="5"/>
  <c r="E14" i="17"/>
  <c r="G10" i="20"/>
  <c r="E27" i="8"/>
  <c r="E16" i="11"/>
  <c r="E26" i="19"/>
  <c r="G26" i="19"/>
  <c r="E24" i="19"/>
  <c r="G24" i="19"/>
  <c r="E23" i="22"/>
  <c r="E22" i="22"/>
  <c r="G24" i="22"/>
  <c r="E24" i="22"/>
  <c r="G34" i="22"/>
  <c r="E10" i="21"/>
  <c r="E9" i="21"/>
  <c r="G9" i="21"/>
  <c r="E15" i="11"/>
  <c r="E26" i="15"/>
  <c r="G9" i="16"/>
  <c r="E16" i="14"/>
  <c r="E18" i="15"/>
  <c r="E22" i="15"/>
  <c r="E15" i="12"/>
  <c r="E14" i="14"/>
  <c r="G9" i="10"/>
  <c r="G10" i="15"/>
  <c r="E16" i="8"/>
  <c r="E26" i="8"/>
  <c r="E21" i="5"/>
  <c r="E17" i="13"/>
  <c r="E26" i="12"/>
  <c r="E25" i="8"/>
  <c r="E14" i="12"/>
  <c r="E7" i="6"/>
  <c r="E14" i="13"/>
  <c r="E17" i="9"/>
  <c r="G7" i="10"/>
  <c r="E17" i="11"/>
  <c r="E8" i="3"/>
  <c r="E16" i="13"/>
  <c r="E14" i="9"/>
  <c r="E25" i="12"/>
  <c r="E16" i="9"/>
  <c r="E15" i="9"/>
  <c r="E23" i="12"/>
  <c r="G23" i="12"/>
  <c r="G24" i="12"/>
  <c r="E33" i="9"/>
  <c r="L17" i="9"/>
  <c r="G9" i="12"/>
  <c r="G6" i="12"/>
  <c r="E22" i="12"/>
  <c r="G6" i="10"/>
  <c r="E6" i="10"/>
  <c r="J16" i="9"/>
  <c r="E32" i="9" s="1"/>
  <c r="J14" i="9"/>
  <c r="L14" i="9"/>
  <c r="J15" i="9"/>
  <c r="E28" i="8"/>
  <c r="E6" i="5"/>
  <c r="E2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<sst xmlns="http://schemas.openxmlformats.org/spreadsheetml/2006/main" count="1159" uniqueCount="367">
  <si>
    <t>EPS (NT$)</t>
    <phoneticPr fontId="3" type="noConversion"/>
  </si>
  <si>
    <t>Cumulative weighted-average outstanding shares (m)</t>
    <phoneticPr fontId="3" type="noConversion"/>
  </si>
  <si>
    <t>Total revenue</t>
  </si>
  <si>
    <t>EBITDA</t>
  </si>
  <si>
    <t>Operating income</t>
  </si>
  <si>
    <t>Pre-tax income</t>
  </si>
  <si>
    <t>Pre-tax income margin</t>
  </si>
  <si>
    <t>Net income</t>
  </si>
  <si>
    <t>EPS (NT$)</t>
  </si>
  <si>
    <t>Cumulative weighted-average outstanding shares (m)</t>
  </si>
  <si>
    <t>Outstanding shares (m)</t>
  </si>
  <si>
    <t>YOY</t>
  </si>
  <si>
    <t>YOY</t>
    <phoneticPr fontId="2" type="noConversion"/>
  </si>
  <si>
    <t>MOM</t>
  </si>
  <si>
    <r>
      <rPr>
        <sz val="10"/>
        <color rgb="FF040C28"/>
        <rFont val="微軟正黑體"/>
        <family val="2"/>
        <charset val="136"/>
      </rPr>
      <t>營業利益</t>
    </r>
  </si>
  <si>
    <r>
      <rPr>
        <sz val="10"/>
        <color rgb="FF040C28"/>
        <rFont val="微軟正黑體"/>
        <family val="2"/>
        <charset val="136"/>
      </rPr>
      <t>稅前利潤</t>
    </r>
  </si>
  <si>
    <r>
      <rPr>
        <sz val="10"/>
        <color rgb="FF040C28"/>
        <rFont val="微軟正黑體"/>
        <family val="2"/>
        <charset val="136"/>
      </rPr>
      <t>稅前淨利率</t>
    </r>
  </si>
  <si>
    <r>
      <rPr>
        <sz val="10"/>
        <color rgb="FF040C28"/>
        <rFont val="微軟正黑體"/>
        <family val="2"/>
        <charset val="136"/>
      </rPr>
      <t>流通在外股票</t>
    </r>
  </si>
  <si>
    <r>
      <rPr>
        <sz val="10"/>
        <color rgb="FF040C28"/>
        <rFont val="微軟正黑體"/>
        <family val="2"/>
        <charset val="136"/>
      </rPr>
      <t>合併營收</t>
    </r>
    <phoneticPr fontId="3" type="noConversion"/>
  </si>
  <si>
    <r>
      <rPr>
        <sz val="10"/>
        <color rgb="FF040C28"/>
        <rFont val="微軟正黑體"/>
        <family val="2"/>
        <charset val="136"/>
      </rPr>
      <t>稅息折舊及攤銷前利潤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</si>
  <si>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2" type="noConversion"/>
  </si>
  <si>
    <r>
      <t>2</t>
    </r>
    <r>
      <rPr>
        <sz val="12"/>
        <color theme="1"/>
        <rFont val="微軟正黑體"/>
        <family val="2"/>
        <charset val="136"/>
      </rPr>
      <t>月</t>
    </r>
    <phoneticPr fontId="2" type="noConversion"/>
  </si>
  <si>
    <r>
      <t>3</t>
    </r>
    <r>
      <rPr>
        <sz val="12"/>
        <color theme="1"/>
        <rFont val="微軟正黑體"/>
        <family val="2"/>
        <charset val="136"/>
      </rPr>
      <t>月</t>
    </r>
    <phoneticPr fontId="2" type="noConversion"/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</si>
  <si>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</si>
  <si>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</si>
  <si>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</si>
  <si>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</si>
  <si>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</si>
  <si>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</si>
  <si>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</si>
  <si>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</si>
  <si>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</si>
  <si>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t>IFRS Basis</t>
    <phoneticPr fontId="3" type="noConversion"/>
  </si>
  <si>
    <t>2023</t>
    <phoneticPr fontId="3" type="noConversion"/>
  </si>
  <si>
    <t>YTD</t>
    <phoneticPr fontId="3" type="noConversion"/>
  </si>
  <si>
    <t>Divisional data</t>
    <phoneticPr fontId="3" type="noConversion"/>
  </si>
  <si>
    <t xml:space="preserve">  Telecom revenues (NT$m)</t>
    <phoneticPr fontId="3" type="noConversion"/>
  </si>
  <si>
    <t xml:space="preserve">     Service revenue</t>
    <phoneticPr fontId="3" type="noConversion"/>
  </si>
  <si>
    <t xml:space="preserve">     Device sales revenue</t>
    <phoneticPr fontId="3" type="noConversion"/>
  </si>
  <si>
    <r>
      <t xml:space="preserve">  EBITDA</t>
    </r>
    <r>
      <rPr>
        <vertAlign val="superscript"/>
        <sz val="13.5"/>
        <rFont val="Arial"/>
        <family val="2"/>
      </rPr>
      <t>7</t>
    </r>
    <phoneticPr fontId="3" type="noConversion"/>
  </si>
  <si>
    <t xml:space="preserve">  Cable revenues (NT$m)</t>
    <phoneticPr fontId="3" type="noConversion"/>
  </si>
  <si>
    <t xml:space="preserve">  EBITDA</t>
    <phoneticPr fontId="3" type="noConversion"/>
  </si>
  <si>
    <t xml:space="preserve">  momo revenues (NT$m)</t>
    <phoneticPr fontId="3" type="noConversion"/>
  </si>
  <si>
    <r>
      <t xml:space="preserve">  Other revenue (NT$m)</t>
    </r>
    <r>
      <rPr>
        <vertAlign val="superscript"/>
        <sz val="13.5"/>
        <color indexed="18"/>
        <rFont val="Arial"/>
        <family val="2"/>
      </rPr>
      <t>1</t>
    </r>
    <phoneticPr fontId="3" type="noConversion"/>
  </si>
  <si>
    <t>Subscriber (k)</t>
    <phoneticPr fontId="3" type="noConversion"/>
  </si>
  <si>
    <t xml:space="preserve">  Mobile</t>
    <phoneticPr fontId="3" type="noConversion"/>
  </si>
  <si>
    <t xml:space="preserve">     Postpaid</t>
    <phoneticPr fontId="3" type="noConversion"/>
  </si>
  <si>
    <t xml:space="preserve">  Cable</t>
    <phoneticPr fontId="3" type="noConversion"/>
  </si>
  <si>
    <t xml:space="preserve">     Cable TV</t>
    <phoneticPr fontId="3" type="noConversion"/>
  </si>
  <si>
    <r>
      <t xml:space="preserve">     Cable broadband</t>
    </r>
    <r>
      <rPr>
        <vertAlign val="superscript"/>
        <sz val="13.5"/>
        <rFont val="Arial"/>
        <family val="2"/>
      </rPr>
      <t>2</t>
    </r>
    <phoneticPr fontId="3" type="noConversion"/>
  </si>
  <si>
    <t>ARPU (NT$)</t>
    <phoneticPr fontId="3" type="noConversion"/>
  </si>
  <si>
    <r>
      <t xml:space="preserve">  Mobile</t>
    </r>
    <r>
      <rPr>
        <vertAlign val="superscript"/>
        <sz val="13.5"/>
        <color indexed="18"/>
        <rFont val="Arial"/>
        <family val="2"/>
      </rPr>
      <t>3</t>
    </r>
    <phoneticPr fontId="3" type="noConversion"/>
  </si>
  <si>
    <r>
      <t xml:space="preserve">     09x postpaid</t>
    </r>
    <r>
      <rPr>
        <vertAlign val="superscript"/>
        <sz val="13.5"/>
        <rFont val="Arial"/>
        <family val="2"/>
      </rPr>
      <t>6</t>
    </r>
    <phoneticPr fontId="3" type="noConversion"/>
  </si>
  <si>
    <r>
      <t xml:space="preserve">  Cable</t>
    </r>
    <r>
      <rPr>
        <vertAlign val="superscript"/>
        <sz val="13.5"/>
        <color indexed="18"/>
        <rFont val="Arial"/>
        <family val="2"/>
      </rPr>
      <t>4</t>
    </r>
    <phoneticPr fontId="3" type="noConversion"/>
  </si>
  <si>
    <t xml:space="preserve">  Mobile Churn rate (%)</t>
    <phoneticPr fontId="3" type="noConversion"/>
  </si>
  <si>
    <t xml:space="preserve">     Postpaid Churn rate (%)</t>
    <phoneticPr fontId="3" type="noConversion"/>
  </si>
  <si>
    <r>
      <t>Unaudited Consolidated Financials</t>
    </r>
    <r>
      <rPr>
        <b/>
        <sz val="16"/>
        <rFont val="Arial"/>
        <family val="2"/>
      </rPr>
      <t xml:space="preserve"> (NT$m)</t>
    </r>
    <phoneticPr fontId="3" type="noConversion"/>
  </si>
  <si>
    <t>Total revenue</t>
    <phoneticPr fontId="3" type="noConversion"/>
  </si>
  <si>
    <t>EBITDA</t>
    <phoneticPr fontId="3" type="noConversion"/>
  </si>
  <si>
    <t>Operating income</t>
    <phoneticPr fontId="3" type="noConversion"/>
  </si>
  <si>
    <t>Pre-tax income</t>
    <phoneticPr fontId="3" type="noConversion"/>
  </si>
  <si>
    <t>Pre-tax income margin</t>
    <phoneticPr fontId="3" type="noConversion"/>
  </si>
  <si>
    <t>Net income</t>
    <phoneticPr fontId="3" type="noConversion"/>
  </si>
  <si>
    <t>Outstanding shares (m)</t>
    <phoneticPr fontId="3" type="noConversion"/>
  </si>
  <si>
    <t>YoY Change</t>
    <phoneticPr fontId="3" type="noConversion"/>
  </si>
  <si>
    <t xml:space="preserve">Total revenue </t>
    <phoneticPr fontId="3" type="noConversion"/>
  </si>
  <si>
    <t xml:space="preserve">Operating income </t>
    <phoneticPr fontId="3" type="noConversion"/>
  </si>
  <si>
    <t>EPS</t>
    <phoneticPr fontId="3" type="noConversion"/>
  </si>
  <si>
    <t>Note 1: Other revenue primarily consists of rental income related to leases on commercial, hotel, and office space owned by our 49.9%-held Taipei New Horizon Co., Ltd., which became a consolidated entity on Feb 21, 2014.</t>
    <phoneticPr fontId="3" type="noConversion"/>
  </si>
  <si>
    <t>Note 2: From Jan 2020, the reporting of cable broadband subscriber number is redefined into unique user from revenue generating unit. Historical numbers were also adjusted upward to enable comparison.</t>
    <phoneticPr fontId="3" type="noConversion"/>
  </si>
  <si>
    <t>Note 3: Mobile service revenue under Residual Value Method divided by its average subscriber number.</t>
    <phoneticPr fontId="3" type="noConversion"/>
  </si>
  <si>
    <t>Note 4: Cable TV &amp; broadband related revenue (excluding content &amp; channel leasing) divided by its average cable TV subscriber.</t>
    <phoneticPr fontId="3" type="noConversion"/>
  </si>
  <si>
    <t xml:space="preserve">Note 5: In October 2020, cable broadband revenue since 2019 was restated to include contributions from TWM's "Double Play" package. Pay-TV revenue was also adjusted accordingly.
</t>
    <phoneticPr fontId="3" type="noConversion"/>
  </si>
  <si>
    <t>Note 6: In addition to postpaid ARPU, 090 postpaid ARPU (total postpaid – 040 IoT) was disclosed from Jan 2020</t>
    <phoneticPr fontId="3" type="noConversion"/>
  </si>
  <si>
    <t xml:space="preserve">Note 7: In July 2021, telecom EBITDA since Jan 2020 was restated due to account reclassification of telecom business.
</t>
    <phoneticPr fontId="3" type="noConversion"/>
  </si>
  <si>
    <t>Note 8: The above numbers are unaudited and subject to audit adjustment.</t>
    <phoneticPr fontId="3" type="noConversion"/>
  </si>
  <si>
    <t>會計科目</t>
    <phoneticPr fontId="2" type="noConversion"/>
  </si>
  <si>
    <t>營業收入</t>
    <phoneticPr fontId="2" type="noConversion"/>
  </si>
  <si>
    <t>113年8月</t>
    <phoneticPr fontId="2" type="noConversion"/>
  </si>
  <si>
    <t>113年7月</t>
    <phoneticPr fontId="2" type="noConversion"/>
  </si>
  <si>
    <t>MoM%</t>
    <phoneticPr fontId="2" type="noConversion"/>
  </si>
  <si>
    <t>112年8月</t>
    <phoneticPr fontId="2" type="noConversion"/>
  </si>
  <si>
    <t>113年1-8月</t>
    <phoneticPr fontId="2" type="noConversion"/>
  </si>
  <si>
    <t>112年1-8月</t>
    <phoneticPr fontId="2" type="noConversion"/>
  </si>
  <si>
    <t>YoY%</t>
    <phoneticPr fontId="2" type="noConversion"/>
  </si>
  <si>
    <t>113年8月營收數字比較表</t>
    <phoneticPr fontId="2" type="noConversion"/>
  </si>
  <si>
    <t>單位：千元</t>
    <phoneticPr fontId="2" type="noConversion"/>
  </si>
  <si>
    <t>QoQ%</t>
    <phoneticPr fontId="2" type="noConversion"/>
  </si>
  <si>
    <t>稅後淨利</t>
    <phoneticPr fontId="2" type="noConversion"/>
  </si>
  <si>
    <r>
      <t>113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9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</si>
  <si>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rPr>
        <sz val="10"/>
        <color theme="1"/>
        <rFont val="微軟正黑體"/>
        <family val="2"/>
        <charset val="136"/>
      </rPr>
      <t>單位：千元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</si>
  <si>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9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</si>
  <si>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rPr>
        <sz val="10"/>
        <color theme="1"/>
        <rFont val="微軟正黑體"/>
        <family val="2"/>
        <charset val="136"/>
      </rPr>
      <t>會計科目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</si>
  <si>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9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</si>
  <si>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8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</si>
  <si>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9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</si>
  <si>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營業收入</t>
    </r>
    <phoneticPr fontId="2" type="noConversion"/>
  </si>
  <si>
    <r>
      <rPr>
        <sz val="10"/>
        <color theme="1"/>
        <rFont val="微軟正黑體"/>
        <family val="2"/>
        <charset val="136"/>
      </rPr>
      <t>營業利益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</si>
  <si>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1-9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</si>
  <si>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1-9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</si>
  <si>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Q3</t>
    </r>
    <r>
      <rPr>
        <sz val="10"/>
        <color theme="1"/>
        <rFont val="微軟正黑體"/>
        <family val="2"/>
        <charset val="136"/>
      </rPr>
      <t>單季營收比較表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</si>
  <si>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Q3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</si>
  <si>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Q2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</si>
  <si>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Q3</t>
    </r>
    <phoneticPr fontId="2" type="noConversion"/>
  </si>
  <si>
    <t>EBTIA</t>
    <phoneticPr fontId="2" type="noConversion"/>
  </si>
  <si>
    <r>
      <rPr>
        <sz val="10"/>
        <color theme="1"/>
        <rFont val="微軟正黑體"/>
        <family val="2"/>
        <charset val="136"/>
      </rPr>
      <t>稅後淨利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</si>
  <si>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1-9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</si>
  <si>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10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</si>
  <si>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1-10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</si>
  <si>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10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</si>
  <si>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1-10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</si>
  <si>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1-10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</si>
  <si>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rgb="FF040C28"/>
        <rFont val="微軟正黑體"/>
        <family val="2"/>
        <charset val="136"/>
      </rPr>
      <t>稅後淨利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</si>
  <si>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10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</si>
  <si>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1-10</t>
    </r>
    <r>
      <rPr>
        <sz val="10"/>
        <color theme="1"/>
        <rFont val="微軟正黑體"/>
        <family val="2"/>
        <charset val="136"/>
      </rPr>
      <t>月累計營收比較表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</si>
  <si>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10</t>
    </r>
    <r>
      <rPr>
        <sz val="10"/>
        <color theme="1"/>
        <rFont val="微軟正黑體"/>
        <family val="2"/>
        <charset val="136"/>
      </rPr>
      <t>月自結營收數字比較表</t>
    </r>
    <phoneticPr fontId="2" type="noConversion"/>
  </si>
  <si>
    <r>
      <t>113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9</t>
    </r>
    <r>
      <rPr>
        <sz val="12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</si>
  <si>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8</t>
    </r>
    <r>
      <rPr>
        <sz val="12"/>
        <color theme="1"/>
        <rFont val="微軟正黑體"/>
        <family val="2"/>
        <charset val="136"/>
      </rPr>
      <t>月</t>
    </r>
    <phoneticPr fontId="2" type="noConversion"/>
  </si>
  <si>
    <r>
      <t>112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9</t>
    </r>
    <r>
      <rPr>
        <sz val="12"/>
        <color theme="1"/>
        <rFont val="微軟正黑體"/>
        <family val="2"/>
        <charset val="136"/>
      </rPr>
      <t>月</t>
    </r>
    <phoneticPr fontId="2" type="noConversion"/>
  </si>
  <si>
    <t>實際數字</t>
    <phoneticPr fontId="2" type="noConversion"/>
  </si>
  <si>
    <t>新聞稿</t>
    <phoneticPr fontId="2" type="noConversion"/>
  </si>
  <si>
    <r>
      <t>113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10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</si>
  <si>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t>EPS</t>
    <phoneticPr fontId="2" type="noConversion"/>
  </si>
  <si>
    <t>EPS</t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</si>
  <si>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1-11</t>
    </r>
    <r>
      <rPr>
        <sz val="10"/>
        <color theme="1"/>
        <rFont val="微軟正黑體"/>
        <family val="2"/>
        <charset val="136"/>
      </rPr>
      <t>月累計營收比較表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</si>
  <si>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</si>
  <si>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11</t>
    </r>
    <r>
      <rPr>
        <sz val="10"/>
        <color theme="1"/>
        <rFont val="微軟正黑體"/>
        <family val="2"/>
        <charset val="136"/>
      </rPr>
      <t>月自結營收數字比較表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</si>
  <si>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11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</si>
  <si>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11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</si>
  <si>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1-11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</si>
  <si>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1-11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</si>
  <si>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1-11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</si>
  <si>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t>113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11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</si>
  <si>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113</t>
    </r>
    <r>
      <rPr>
        <sz val="10"/>
        <color theme="1"/>
        <rFont val="Microsoft JhengHei"/>
        <family val="2"/>
      </rPr>
      <t>年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</si>
  <si>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12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</si>
  <si>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t>113年11月</t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</si>
  <si>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</si>
  <si>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</si>
  <si>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1-12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</si>
  <si>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1-12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</si>
  <si>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12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</si>
  <si>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113</t>
    </r>
    <r>
      <rPr>
        <sz val="10"/>
        <color theme="1"/>
        <rFont val="Microsoft JhengHei"/>
        <family val="2"/>
      </rPr>
      <t>年</t>
    </r>
    <r>
      <rPr>
        <sz val="10"/>
        <color theme="1"/>
        <rFont val="Calibri"/>
        <family val="2"/>
      </rPr>
      <t>Q4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</si>
  <si>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7-9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</si>
  <si>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10-12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</si>
  <si>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10-12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</si>
  <si>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t>113年12月</t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</si>
  <si>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</si>
  <si>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</si>
  <si>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1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</si>
  <si>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</si>
  <si>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t>114年1月</t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</si>
  <si>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2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</si>
  <si>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2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</si>
  <si>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</si>
  <si>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</si>
  <si>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1-2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</si>
  <si>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</si>
  <si>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</si>
  <si>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年3月自結營收數字比較表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</si>
  <si>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1-3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</si>
  <si>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年3月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</si>
  <si>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3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</si>
  <si>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t>114年2月</t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</si>
  <si>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1-3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</si>
  <si>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1-3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</si>
  <si>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Q1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</si>
  <si>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Q4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</si>
  <si>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Q1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</si>
  <si>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Q1</t>
    </r>
    <r>
      <rPr>
        <sz val="10"/>
        <color theme="1"/>
        <rFont val="微軟正黑體"/>
        <family val="2"/>
        <charset val="136"/>
      </rPr>
      <t>單季營收比較表</t>
    </r>
    <phoneticPr fontId="2" type="noConversion"/>
  </si>
  <si>
    <t>114年3月</t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</si>
  <si>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1-4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</si>
  <si>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1-4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</si>
  <si>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4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</si>
  <si>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1-4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</si>
  <si>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t>自結4月單月營收比較表</t>
  </si>
  <si>
    <t>自結1-4月累計營收比較表</t>
  </si>
  <si>
    <t>113年4月</t>
    <phoneticPr fontId="2" type="noConversion"/>
  </si>
  <si>
    <t>營業利益</t>
    <phoneticPr fontId="2" type="noConversion"/>
  </si>
  <si>
    <t>114年1-4月</t>
    <phoneticPr fontId="2" type="noConversion"/>
  </si>
  <si>
    <t>113年1-4月</t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</si>
  <si>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4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</si>
  <si>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單位：</t>
    </r>
    <r>
      <rPr>
        <sz val="10"/>
        <color theme="1"/>
        <rFont val="Microsoft JhengHei"/>
        <family val="2"/>
        <charset val="136"/>
      </rPr>
      <t>億</t>
    </r>
    <r>
      <rPr>
        <sz val="10"/>
        <color theme="1"/>
        <rFont val="微軟正黑體"/>
        <family val="2"/>
        <charset val="136"/>
      </rPr>
      <t>元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</si>
  <si>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4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</si>
  <si>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rPr>
        <sz val="12"/>
        <color theme="1"/>
        <rFont val="Microsoft JhengHei"/>
        <family val="2"/>
      </rPr>
      <t>新聞稿數字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</si>
  <si>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4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</si>
  <si>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2"/>
        <color theme="1"/>
        <rFont val="Microsoft JhengHei"/>
        <family val="2"/>
      </rPr>
      <t>遠傳</t>
    </r>
    <r>
      <rPr>
        <sz val="12"/>
        <color theme="1"/>
        <rFont val="Calibri"/>
        <family val="2"/>
      </rPr>
      <t xml:space="preserve"> - </t>
    </r>
    <r>
      <rPr>
        <sz val="12"/>
        <color theme="1"/>
        <rFont val="微軟正黑體"/>
        <family val="2"/>
        <charset val="136"/>
      </rPr>
      <t>自結</t>
    </r>
    <r>
      <rPr>
        <sz val="12"/>
        <color theme="1"/>
        <rFont val="Calibri"/>
        <family val="2"/>
      </rPr>
      <t>1-4</t>
    </r>
    <r>
      <rPr>
        <sz val="12"/>
        <color theme="1"/>
        <rFont val="微軟正黑體"/>
        <family val="2"/>
        <charset val="136"/>
      </rPr>
      <t>月累計營收比較表</t>
    </r>
    <phoneticPr fontId="2" type="noConversion"/>
  </si>
  <si>
    <r>
      <rPr>
        <sz val="10"/>
        <color theme="1"/>
        <rFont val="微軟正黑體"/>
        <family val="2"/>
        <charset val="136"/>
      </rPr>
      <t>單位：</t>
    </r>
    <r>
      <rPr>
        <sz val="10"/>
        <color theme="1"/>
        <rFont val="Microsoft JhengHei"/>
        <family val="2"/>
      </rPr>
      <t>佰萬</t>
    </r>
    <r>
      <rPr>
        <sz val="10"/>
        <color theme="1"/>
        <rFont val="微軟正黑體"/>
        <family val="2"/>
        <charset val="136"/>
      </rPr>
      <t>元</t>
    </r>
    <phoneticPr fontId="2" type="noConversion"/>
  </si>
  <si>
    <t>114年4月</t>
  </si>
  <si>
    <r>
      <t>114</t>
    </r>
    <r>
      <rPr>
        <sz val="10"/>
        <color theme="1"/>
        <rFont val="微軟正黑體"/>
        <family val="2"/>
        <charset val="136"/>
      </rPr>
      <t>年5月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</si>
  <si>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年5月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</si>
  <si>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1-5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</si>
  <si>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1-5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</si>
  <si>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5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</si>
  <si>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1-5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</si>
  <si>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年5月自結營收數字比較表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</si>
  <si>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6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</si>
  <si>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t>114年5月</t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</si>
  <si>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1-6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</si>
  <si>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1-6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</si>
  <si>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</si>
  <si>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6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</si>
  <si>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6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</si>
  <si>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Q2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</si>
  <si>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Q2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</si>
  <si>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H1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</si>
  <si>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6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</si>
  <si>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7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</si>
  <si>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7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</si>
  <si>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1-7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</si>
  <si>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t>114年6月</t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</si>
  <si>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7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</si>
  <si>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7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</si>
  <si>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1-7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</si>
  <si>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1-7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</si>
  <si>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1-8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</si>
  <si>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1-8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</si>
  <si>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t>114年7月</t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</si>
  <si>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8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</si>
  <si>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1-8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</si>
  <si>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8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</si>
  <si>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8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</si>
  <si>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年8月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</si>
  <si>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Q3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</si>
  <si>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9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</si>
  <si>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t>114年8月</t>
  </si>
  <si>
    <r>
      <t>113</t>
    </r>
    <r>
      <rPr>
        <sz val="10"/>
        <color theme="1"/>
        <rFont val="微軟正黑體"/>
        <family val="2"/>
        <charset val="136"/>
      </rPr>
      <t>年9月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</si>
  <si>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1-9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</si>
  <si>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9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</si>
  <si>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Q3</t>
    </r>
    <phoneticPr fontId="2" type="noConversion"/>
  </si>
  <si>
    <t>114年Q2</t>
    <phoneticPr fontId="2" type="noConversion"/>
  </si>
  <si>
    <t>114年9月</t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</si>
  <si>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10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</si>
  <si>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1-10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</si>
  <si>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10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</si>
  <si>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11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</si>
  <si>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11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</si>
  <si>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1-11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</si>
  <si>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12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</si>
  <si>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1-12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</si>
  <si>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</si>
  <si>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114</t>
    </r>
    <r>
      <rPr>
        <sz val="10"/>
        <color theme="1"/>
        <rFont val="Microsoft JhengHei"/>
        <family val="2"/>
      </rPr>
      <t>年</t>
    </r>
    <r>
      <rPr>
        <sz val="10"/>
        <color theme="1"/>
        <rFont val="Calibri"/>
        <family val="2"/>
      </rPr>
      <t>Q4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</si>
  <si>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114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Calibri"/>
        <family val="2"/>
      </rPr>
      <t>1-12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Microsoft JhengHei"/>
        <family val="2"/>
      </rPr>
      <t>累計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</si>
  <si>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114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Calibri"/>
        <family val="2"/>
      </rPr>
      <t>12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</si>
  <si>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H2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</si>
  <si>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H1</t>
    </r>
    <phoneticPr fontId="2" type="noConversion"/>
  </si>
  <si>
    <r>
      <t>113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H2</t>
    </r>
    <phoneticPr fontId="2" type="noConversion"/>
  </si>
  <si>
    <r>
      <t>114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Q4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</si>
  <si>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114</t>
    </r>
    <r>
      <rPr>
        <sz val="10"/>
        <color theme="1"/>
        <rFont val="Microsoft JhengHei"/>
        <family val="2"/>
      </rPr>
      <t>年</t>
    </r>
    <r>
      <rPr>
        <sz val="10"/>
        <color theme="1"/>
        <rFont val="Calibri"/>
        <family val="2"/>
      </rPr>
      <t>H2</t>
    </r>
    <r>
      <rPr>
        <sz val="10"/>
        <color theme="1"/>
        <rFont val="微軟正黑體"/>
        <family val="2"/>
        <charset val="136"/>
      </rPr>
      <t>營收比較表</t>
    </r>
    <phoneticPr fontId="2" type="noConversion"/>
  </si>
  <si>
    <t>HoH%</t>
    <phoneticPr fontId="2" type="noConversion"/>
  </si>
  <si>
    <t>2024</t>
    <phoneticPr fontId="3" type="noConversion"/>
  </si>
  <si>
    <t>2025</t>
    <phoneticPr fontId="3" type="noConversion"/>
  </si>
  <si>
    <r>
      <t>115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1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</si>
  <si>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Calibri"/>
        <family val="2"/>
      </rPr>
      <t>1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</si>
  <si>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t>115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</si>
  <si>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t>114年12月</t>
  </si>
  <si>
    <t>115年1月</t>
  </si>
  <si>
    <r>
      <t>115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</si>
  <si>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t>115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2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</si>
  <si>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t>114年1-2月</t>
  </si>
  <si>
    <t>自結1-2月累計營收比較表</t>
    <phoneticPr fontId="2" type="noConversion"/>
  </si>
  <si>
    <r>
      <t>115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1-2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</si>
  <si>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Calibri"/>
        <family val="2"/>
      </rPr>
      <t>2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</si>
  <si>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t>114年Q1</t>
  </si>
  <si>
    <t>114年Q1</t>
    <phoneticPr fontId="2" type="noConversion"/>
  </si>
  <si>
    <t>114年Q4</t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</si>
  <si>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1-3</t>
    </r>
    <r>
      <rPr>
        <sz val="10"/>
        <color theme="1"/>
        <rFont val="微軟正黑體"/>
        <family val="2"/>
        <charset val="136"/>
      </rPr>
      <t>月累計營收比較表</t>
    </r>
    <phoneticPr fontId="2" type="noConversion"/>
  </si>
  <si>
    <r>
      <t>115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1-3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</si>
  <si>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Calibri"/>
        <family val="2"/>
      </rPr>
      <t>3</t>
    </r>
    <r>
      <rPr>
        <sz val="10"/>
        <color theme="1"/>
        <rFont val="微軟正黑體"/>
        <family val="2"/>
        <charset val="136"/>
      </rPr>
      <t>月單月營收比較表</t>
    </r>
    <phoneticPr fontId="2" type="noConversion"/>
  </si>
  <si>
    <r>
      <t>115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3</t>
    </r>
    <r>
      <rPr>
        <sz val="12"/>
        <color theme="1"/>
        <rFont val="微軟正黑體"/>
        <family val="2"/>
        <charset val="136"/>
      </rPr>
      <t>月自結營收數字比較表</t>
    </r>
    <phoneticPr fontId="2" type="noConversion"/>
  </si>
  <si>
    <t>115年2月</t>
  </si>
  <si>
    <r>
      <rPr>
        <sz val="10"/>
        <color theme="1"/>
        <rFont val="微軟正黑體"/>
        <family val="2"/>
        <charset val="136"/>
      </rPr>
      <t>自結</t>
    </r>
    <r>
      <rPr>
        <sz val="10"/>
        <color theme="1"/>
        <rFont val="Calibri"/>
        <family val="2"/>
      </rPr>
      <t>115</t>
    </r>
    <r>
      <rPr>
        <sz val="10"/>
        <color theme="1"/>
        <rFont val="Microsoft JhengHei"/>
        <family val="2"/>
      </rPr>
      <t>年</t>
    </r>
    <r>
      <rPr>
        <sz val="10"/>
        <color theme="1"/>
        <rFont val="Calibri"/>
        <family val="2"/>
      </rPr>
      <t>Q1</t>
    </r>
    <r>
      <rPr>
        <sz val="10"/>
        <color theme="1"/>
        <rFont val="微軟正黑體"/>
        <family val="2"/>
        <charset val="136"/>
      </rPr>
      <t>單季營收比較表</t>
    </r>
    <phoneticPr fontId="2" type="noConversion"/>
  </si>
  <si>
    <t>累計EPS</t>
  </si>
  <si>
    <t>單月EPS</t>
  </si>
  <si>
    <t>FET</t>
    <phoneticPr fontId="2" type="noConversion"/>
  </si>
  <si>
    <t>CHT</t>
    <phoneticPr fontId="2" type="noConversion"/>
  </si>
  <si>
    <t>營收</t>
    <phoneticPr fontId="2" type="noConversion"/>
  </si>
  <si>
    <r>
      <rPr>
        <b/>
        <sz val="12"/>
        <color theme="1"/>
        <rFont val="微軟正黑體"/>
        <family val="2"/>
        <charset val="136"/>
      </rPr>
      <t>累計</t>
    </r>
    <r>
      <rPr>
        <b/>
        <sz val="12"/>
        <color theme="1"/>
        <rFont val="Calibri"/>
        <family val="2"/>
      </rPr>
      <t>EPS</t>
    </r>
    <phoneticPr fontId="2" type="noConversion"/>
  </si>
  <si>
    <r>
      <rPr>
        <b/>
        <sz val="12"/>
        <color theme="1"/>
        <rFont val="微軟正黑體"/>
        <family val="2"/>
        <charset val="136"/>
      </rPr>
      <t>單月</t>
    </r>
    <r>
      <rPr>
        <b/>
        <sz val="12"/>
        <color theme="1"/>
        <rFont val="Calibri"/>
        <family val="2"/>
      </rPr>
      <t>EPS</t>
    </r>
    <phoneticPr fontId="2" type="noConversion"/>
  </si>
  <si>
    <t>TWM</t>
    <phoneticPr fontId="2" type="noConversion"/>
  </si>
  <si>
    <t>單月獲利王</t>
    <phoneticPr fontId="2" type="noConversion"/>
  </si>
  <si>
    <t>累計獲利王</t>
    <phoneticPr fontId="2" type="noConversion"/>
  </si>
  <si>
    <r>
      <t>115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Calibri"/>
        <family val="2"/>
      </rPr>
      <t>3</t>
    </r>
    <r>
      <rPr>
        <sz val="10"/>
        <color theme="1"/>
        <rFont val="微軟正黑體"/>
        <family val="2"/>
        <charset val="136"/>
      </rPr>
      <t>月</t>
    </r>
    <phoneticPr fontId="2" type="noConversion"/>
  </si>
  <si>
    <t>單位：佰萬元</t>
    <phoneticPr fontId="2" type="noConversion"/>
  </si>
  <si>
    <t>自結1-3月累計營收比較表</t>
    <phoneticPr fontId="2" type="noConversion"/>
  </si>
  <si>
    <t>115年1-3月</t>
    <phoneticPr fontId="2" type="noConversion"/>
  </si>
  <si>
    <t>114年1-3月</t>
    <phoneticPr fontId="2" type="noConversion"/>
  </si>
  <si>
    <t>自結115年1-4月累計營收比較表</t>
    <phoneticPr fontId="2" type="noConversion"/>
  </si>
  <si>
    <t>自結115年4月單月營收比較表</t>
    <phoneticPr fontId="2" type="noConversion"/>
  </si>
  <si>
    <t>115年4月自結營收數字比較表</t>
    <phoneticPr fontId="2" type="noConversion"/>
  </si>
  <si>
    <t>115年3月</t>
  </si>
  <si>
    <t>115年4月</t>
    <phoneticPr fontId="2" type="noConversion"/>
  </si>
  <si>
    <t>114年1-4月</t>
  </si>
  <si>
    <t>115年1-4月</t>
    <phoneticPr fontId="2" type="noConversion"/>
  </si>
  <si>
    <t>會計科目</t>
  </si>
  <si>
    <t>MoM%</t>
  </si>
  <si>
    <t>YoY%</t>
  </si>
  <si>
    <t>營業收入</t>
  </si>
  <si>
    <t>營業利益</t>
  </si>
  <si>
    <t>稅後淨利</t>
  </si>
  <si>
    <t>EPS</t>
  </si>
  <si>
    <t>$bn</t>
  </si>
  <si>
    <t>2018-2023%</t>
  </si>
  <si>
    <t>2019-2023%</t>
  </si>
  <si>
    <t>營收</t>
  </si>
  <si>
    <t>Net Income</t>
  </si>
  <si>
    <t>市值</t>
  </si>
  <si>
    <t>股價</t>
  </si>
  <si>
    <t>實際發行總股市</t>
  </si>
  <si>
    <t>EPS (元)</t>
  </si>
  <si>
    <t>期末股價 (元)</t>
  </si>
  <si>
    <t>Y1→Y2</t>
  </si>
  <si>
    <t>Y2→Y3</t>
  </si>
  <si>
    <t>Y3→Y4</t>
  </si>
  <si>
    <t>Y4→Y5</t>
  </si>
  <si>
    <t>Y5→Y6</t>
  </si>
  <si>
    <t>Y6→Y7</t>
  </si>
  <si>
    <t>林之晨（Jamie Lin）總經理任期績效表 - 2019年4月1日上任</t>
  </si>
  <si>
    <t>任期年度定義：每年4月至隔年3月（非一般財務年度）| 單位：佰萬元、新台幣元（EPS/股價）、億元（市值）</t>
  </si>
  <si>
    <t>Y0 上任前</t>
  </si>
  <si>
    <t>Y1</t>
  </si>
  <si>
    <t>Y2</t>
  </si>
  <si>
    <t>Y3</t>
  </si>
  <si>
    <t>Y4</t>
  </si>
  <si>
    <t>Y5</t>
  </si>
  <si>
    <t>Y6</t>
  </si>
  <si>
    <t>Y7 YTD</t>
  </si>
  <si>
    <t>Y0→Y7累計</t>
  </si>
  <si>
    <t>CAGR</t>
  </si>
  <si>
    <t>期間</t>
  </si>
  <si>
    <t>2018.04-2019.03</t>
  </si>
  <si>
    <t>2019.04-2020.03</t>
  </si>
  <si>
    <t>2020.04-2021.03</t>
  </si>
  <si>
    <t>2021.04-2022.03</t>
  </si>
  <si>
    <t>2022.04-2023.03</t>
  </si>
  <si>
    <t>2023.04-2024.03</t>
  </si>
  <si>
    <t>2024.04-2025.03</t>
  </si>
  <si>
    <t>2025.04-2026.03</t>
  </si>
  <si>
    <t>成長%</t>
  </si>
  <si>
    <t>年複合%</t>
  </si>
  <si>
    <t>市值 (億元)</t>
  </si>
  <si>
    <t>📈 年度成長率 (YoY%)</t>
  </si>
  <si>
    <t>Y0→Y1</t>
  </si>
  <si>
    <t>📌 資料來源說明：</t>
  </si>
  <si>
    <t>• Y0 (上任前) 為 2018 年度財報，作為績效比較基準</t>
  </si>
  <si>
    <t>• 歷史數據來源：Goodinfo 台灣股市資訊網、公司年報</t>
  </si>
  <si>
    <t>• Y7 數據使用公式連結「純數字」工作表，會自動更新</t>
  </si>
  <si>
    <t>• 股價為各任期年度 3 月底收盤價（Yahoo Finance、Goodinfo）</t>
  </si>
  <si>
    <t>• 市值 = 股價 × 流通在外股數（約 37.23 億股）</t>
  </si>
  <si>
    <t>EBITDA</t>
    <phoneticPr fontId="2" type="noConversion"/>
  </si>
  <si>
    <t>股價</t>
    <phoneticPr fontId="2" type="noConversion"/>
  </si>
  <si>
    <t>市值</t>
    <phoneticPr fontId="2" type="noConversion"/>
  </si>
  <si>
    <t>• EPS Y7 = 稅後淨利 Y7 ÷ 流通股數（約30.25億股）</t>
  </si>
  <si>
    <t>Y1→Y7累計</t>
  </si>
  <si>
    <t>QoQ%</t>
  </si>
  <si>
    <t>自結近三個月加總（季度比較用）</t>
  </si>
  <si>
    <t>近三個月</t>
  </si>
  <si>
    <t>上季（前三個月）</t>
  </si>
  <si>
    <t>去年同期三個月</t>
  </si>
  <si>
    <t>💡 說明：當目標月份為 3、6、9、12 月時，此表即為 QoQ 季度比較表</t>
  </si>
  <si>
    <r>
      <t xml:space="preserve">📌 </t>
    </r>
    <r>
      <rPr>
        <sz val="12"/>
        <color theme="1"/>
        <rFont val="Microsoft YaHei"/>
        <family val="2"/>
      </rPr>
      <t>參數設定（只需修改這區）</t>
    </r>
  </si>
  <si>
    <r>
      <rPr>
        <sz val="12"/>
        <color theme="1"/>
        <rFont val="Microsoft YaHei"/>
        <family val="2"/>
      </rPr>
      <t>當月欄號</t>
    </r>
  </si>
  <si>
    <r>
      <rPr>
        <sz val="12"/>
        <color theme="1"/>
        <rFont val="Microsoft YaHei"/>
        <family val="2"/>
      </rPr>
      <t>目標年份</t>
    </r>
  </si>
  <si>
    <r>
      <rPr>
        <sz val="12"/>
        <color theme="1"/>
        <rFont val="Microsoft YaHei"/>
        <family val="2"/>
      </rPr>
      <t>目標月份</t>
    </r>
  </si>
  <si>
    <r>
      <rPr>
        <sz val="12"/>
        <color theme="1"/>
        <rFont val="Microsoft YaHei"/>
        <family val="2"/>
      </rPr>
      <t>單位：佰萬元</t>
    </r>
  </si>
  <si>
    <r>
      <rPr>
        <sz val="12"/>
        <color theme="1"/>
        <rFont val="Microsoft YaHei"/>
        <family val="2"/>
      </rPr>
      <t>營業收入</t>
    </r>
  </si>
  <si>
    <r>
      <rPr>
        <sz val="12"/>
        <color theme="1"/>
        <rFont val="Microsoft YaHei"/>
        <family val="2"/>
      </rPr>
      <t>營業利益</t>
    </r>
  </si>
  <si>
    <r>
      <rPr>
        <sz val="12"/>
        <color theme="1"/>
        <rFont val="Microsoft YaHei"/>
        <family val="2"/>
      </rPr>
      <t>稅後淨利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</si>
</sst>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%"/>
    <numFmt numFmtId="177" formatCode="_-* #,##0_-;\-* #,##0_-;_-* &quot;-&quot;??_-;_-@_-"/>
    <numFmt numFmtId="178" formatCode="0_ "/>
    <numFmt numFmtId="179" formatCode="_-* #,##0.000_-;\-* #,##0.000_-;_-* &quot;-&quot;??_-;_-@_-"/>
    <numFmt numFmtId="180" formatCode="#,##0.00_);[Red]\(#,##0.00\)"/>
    <numFmt numFmtId="181" formatCode="0.000%"/>
    <numFmt numFmtId="182" formatCode="#,##0.0_);[Red]\(#,##0.0\)"/>
    <numFmt numFmtId="183" formatCode="0.0"/>
  </numFmts>
  <fonts count="6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6"/>
      <name val="Arial"/>
      <family val="2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0"/>
      <color rgb="FF040C28"/>
      <name val="微軟正黑體"/>
      <family val="2"/>
      <charset val="136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color rgb="FF666666"/>
      <name val="Calibri"/>
      <family val="2"/>
    </font>
    <font>
      <sz val="10"/>
      <name val="Calibri"/>
      <family val="2"/>
    </font>
    <font>
      <sz val="10"/>
      <color rgb="FF4D5156"/>
      <name val="Calibri"/>
      <family val="2"/>
    </font>
    <font>
      <sz val="10"/>
      <color rgb="FF040C28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  <font>
      <b/>
      <sz val="16"/>
      <name val="Arial"/>
      <family val="2"/>
    </font>
    <font>
      <sz val="12"/>
      <name val="Arial"/>
      <family val="2"/>
    </font>
    <font>
      <sz val="16"/>
      <color indexed="18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2"/>
      <color rgb="FFFF0000"/>
      <name val="Arial"/>
      <family val="2"/>
    </font>
    <font>
      <vertAlign val="superscript"/>
      <sz val="13.5"/>
      <name val="Arial"/>
      <family val="2"/>
    </font>
    <font>
      <vertAlign val="superscript"/>
      <sz val="13.5"/>
      <color indexed="1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color rgb="FF0000FF"/>
      <name val="Arial"/>
      <family val="2"/>
    </font>
    <font>
      <sz val="18"/>
      <name val="Arial"/>
      <family val="2"/>
    </font>
    <font>
      <sz val="12"/>
      <color indexed="10"/>
      <name val="Arial"/>
      <family val="2"/>
    </font>
    <font>
      <sz val="24"/>
      <name val="Arial"/>
      <family val="2"/>
    </font>
    <font>
      <b/>
      <sz val="12"/>
      <name val="Calibri"/>
      <family val="2"/>
    </font>
    <font>
      <sz val="12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Calibri"/>
      <family val="2"/>
      <charset val="136"/>
    </font>
    <font>
      <sz val="10"/>
      <color theme="1"/>
      <name val="Microsoft JhengHei"/>
      <family val="2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細明體"/>
      <family val="2"/>
      <charset val="136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b/>
      <sz val="12"/>
      <color theme="1"/>
      <name val="Calibri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sz val="10"/>
      <color theme="1"/>
      <name val="Microsoft YaHei"/>
      <family val="2"/>
      <charset val="134"/>
    </font>
    <font>
      <b/>
      <sz val="12"/>
      <name val="微軟正黑體"/>
      <family val="2"/>
      <charset val="136"/>
    </font>
    <font>
      <b/>
      <sz val="14"/>
      <color theme="1"/>
      <name val="新細明體"/>
      <family val="2"/>
      <charset val="136"/>
      <scheme val="minor"/>
    </font>
    <font>
      <b/>
      <sz val="11"/>
      <color rgb="FF000000"/>
      <name val="Calibri"/>
      <family val="2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FFFFFF"/>
      <name val="新細明體"/>
      <family val="2"/>
      <charset val="136"/>
      <scheme val="minor"/>
    </font>
    <font>
      <sz val="9"/>
      <color rgb="FF666666"/>
      <name val="新細明體"/>
      <family val="2"/>
      <charset val="136"/>
      <scheme val="minor"/>
    </font>
    <font>
      <i/>
      <sz val="9"/>
      <color theme="1"/>
      <name val="新細明體"/>
      <family val="2"/>
      <charset val="136"/>
      <scheme val="minor"/>
    </font>
    <font>
      <b/>
      <i/>
      <sz val="9"/>
      <color theme="1"/>
      <name val="新細明體"/>
      <family val="2"/>
      <charset val="136"/>
      <scheme val="minor"/>
    </font>
    <font>
      <sz val="12"/>
      <color theme="1"/>
      <name val="Microsoft YaHei"/>
      <family val="2"/>
    </font>
    <font>
      <b/>
      <sz val="12"/>
      <color theme="1"/>
      <name val="Microsoft YaHei"/>
      <family val="2"/>
    </font>
    <font>
      <b/>
      <sz val="14"/>
      <color theme="1"/>
      <name val="Microsoft YaHei"/>
      <family val="2"/>
    </font>
    <font>
      <sz val="10"/>
      <color theme="1"/>
      <name val="Microsoft YaHei"/>
      <family val="2"/>
    </font>
    <font>
      <b/>
      <sz val="12"/>
      <color rgb="FFFFFFFF"/>
      <name val="Microsoft YaHei"/>
      <family val="2"/>
    </font>
    <font>
      <i/>
      <sz val="12"/>
      <color rgb="FF666666"/>
      <name val="Microsoft YaHe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rgb="FF969696"/>
      </bottom>
      <diagonal/>
    </border>
    <border>
      <left/>
      <right/>
      <top style="double">
        <color rgb="FF969696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55"/>
      </bottom>
      <diagonal/>
    </border>
    <border>
      <left/>
      <right/>
      <top style="medium">
        <color indexed="64"/>
      </top>
      <bottom style="double">
        <color rgb="FF969696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rgb="FF969696"/>
      </bottom>
      <diagonal/>
    </border>
    <border>
      <left style="medium">
        <color indexed="64"/>
      </left>
      <right/>
      <top style="medium">
        <color indexed="64"/>
      </top>
      <bottom style="double">
        <color rgb="FF969696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55"/>
      </bottom>
      <diagonal/>
    </border>
    <border>
      <left style="thin">
        <color indexed="64"/>
      </left>
      <right style="medium">
        <color indexed="64"/>
      </right>
      <top style="double">
        <color rgb="FF969696"/>
      </top>
      <bottom/>
      <diagonal/>
    </border>
    <border>
      <left style="medium">
        <color indexed="64"/>
      </left>
      <right/>
      <top style="double">
        <color rgb="FF969696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55"/>
      </bottom>
      <diagonal/>
    </border>
    <border>
      <left style="thin">
        <color indexed="64"/>
      </left>
      <right style="medium">
        <color indexed="64"/>
      </right>
      <top/>
      <bottom style="double">
        <color rgb="FF969696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55"/>
      </bottom>
      <diagonal/>
    </border>
    <border>
      <left style="medium">
        <color indexed="64"/>
      </left>
      <right/>
      <top style="double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3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176" fontId="4" fillId="0" borderId="1" xfId="0" applyNumberFormat="1" applyFont="1" applyBorder="1" applyAlignment="1">
      <alignment horizontal="left"/>
    </xf>
    <xf numFmtId="177" fontId="4" fillId="0" borderId="0" xfId="1" applyNumberFormat="1" applyFont="1" applyFill="1" applyBorder="1">
      <alignment vertical="center"/>
    </xf>
    <xf numFmtId="176" fontId="4" fillId="0" borderId="0" xfId="2" applyNumberFormat="1" applyFont="1" applyFill="1" applyBorder="1">
      <alignment vertical="center"/>
    </xf>
    <xf numFmtId="43" fontId="4" fillId="0" borderId="0" xfId="1" applyFont="1" applyFill="1" applyBorder="1">
      <alignment vertical="center"/>
    </xf>
    <xf numFmtId="177" fontId="4" fillId="2" borderId="2" xfId="1" applyNumberFormat="1" applyFont="1" applyFill="1" applyBorder="1">
      <alignment vertical="center"/>
    </xf>
    <xf numFmtId="177" fontId="4" fillId="2" borderId="0" xfId="1" applyNumberFormat="1" applyFont="1" applyFill="1" applyBorder="1">
      <alignment vertical="center"/>
    </xf>
    <xf numFmtId="177" fontId="4" fillId="0" borderId="3" xfId="1" applyNumberFormat="1" applyFont="1" applyFill="1" applyBorder="1">
      <alignment vertical="center"/>
    </xf>
    <xf numFmtId="177" fontId="4" fillId="3" borderId="4" xfId="1" applyNumberFormat="1" applyFont="1" applyFill="1" applyBorder="1">
      <alignment vertical="center"/>
    </xf>
    <xf numFmtId="176" fontId="4" fillId="3" borderId="4" xfId="2" applyNumberFormat="1" applyFont="1" applyFill="1" applyBorder="1">
      <alignment vertical="center"/>
    </xf>
    <xf numFmtId="43" fontId="4" fillId="3" borderId="4" xfId="1" applyFont="1" applyFill="1" applyBorder="1">
      <alignment vertical="center"/>
    </xf>
    <xf numFmtId="177" fontId="4" fillId="0" borderId="2" xfId="1" applyNumberFormat="1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left" vertical="center"/>
    </xf>
    <xf numFmtId="177" fontId="14" fillId="0" borderId="0" xfId="1" applyNumberFormat="1" applyFont="1" applyFill="1" applyBorder="1" applyAlignment="1">
      <alignment vertical="center"/>
    </xf>
    <xf numFmtId="0" fontId="8" fillId="4" borderId="0" xfId="0" applyFont="1" applyFill="1" applyAlignment="1">
      <alignment horizontal="left" vertical="center"/>
    </xf>
    <xf numFmtId="177" fontId="14" fillId="4" borderId="0" xfId="1" applyNumberFormat="1" applyFont="1" applyFill="1" applyBorder="1" applyAlignment="1">
      <alignment vertical="center"/>
    </xf>
    <xf numFmtId="0" fontId="12" fillId="0" borderId="0" xfId="0" applyFont="1">
      <alignment vertical="center"/>
    </xf>
    <xf numFmtId="0" fontId="13" fillId="4" borderId="0" xfId="0" applyFont="1" applyFill="1">
      <alignment vertical="center"/>
    </xf>
    <xf numFmtId="0" fontId="13" fillId="0" borderId="0" xfId="0" applyFont="1">
      <alignment vertical="center"/>
    </xf>
    <xf numFmtId="176" fontId="14" fillId="4" borderId="0" xfId="2" applyNumberFormat="1" applyFont="1" applyFill="1" applyBorder="1" applyAlignment="1">
      <alignment vertical="center"/>
    </xf>
    <xf numFmtId="176" fontId="14" fillId="0" borderId="0" xfId="2" applyNumberFormat="1" applyFont="1" applyFill="1" applyBorder="1" applyAlignment="1">
      <alignment vertical="center"/>
    </xf>
    <xf numFmtId="176" fontId="11" fillId="4" borderId="0" xfId="0" applyNumberFormat="1" applyFont="1" applyFill="1" applyAlignment="1">
      <alignment horizontal="left" vertical="center"/>
    </xf>
    <xf numFmtId="43" fontId="14" fillId="4" borderId="0" xfId="1" applyFont="1" applyFill="1" applyBorder="1" applyAlignment="1">
      <alignment vertical="center"/>
    </xf>
    <xf numFmtId="176" fontId="11" fillId="0" borderId="0" xfId="0" applyNumberFormat="1" applyFont="1" applyAlignment="1">
      <alignment horizontal="left" vertical="center"/>
    </xf>
    <xf numFmtId="43" fontId="14" fillId="0" borderId="0" xfId="1" applyFont="1" applyFill="1" applyBorder="1" applyAlignment="1">
      <alignment vertical="center"/>
    </xf>
    <xf numFmtId="0" fontId="10" fillId="0" borderId="0" xfId="0" applyFont="1">
      <alignment vertical="center"/>
    </xf>
    <xf numFmtId="176" fontId="9" fillId="0" borderId="0" xfId="2" applyNumberFormat="1" applyFont="1" applyFill="1" applyBorder="1" applyAlignment="1">
      <alignment vertical="center"/>
    </xf>
    <xf numFmtId="10" fontId="14" fillId="0" borderId="0" xfId="2" applyNumberFormat="1" applyFont="1" applyFill="1" applyBorder="1" applyAlignment="1">
      <alignment vertical="center"/>
    </xf>
    <xf numFmtId="17" fontId="16" fillId="6" borderId="13" xfId="0" applyNumberFormat="1" applyFont="1" applyFill="1" applyBorder="1" applyAlignment="1">
      <alignment horizontal="left" vertical="center"/>
    </xf>
    <xf numFmtId="17" fontId="16" fillId="7" borderId="14" xfId="0" applyNumberFormat="1" applyFont="1" applyFill="1" applyBorder="1" applyAlignment="1">
      <alignment horizontal="right" vertical="center"/>
    </xf>
    <xf numFmtId="49" fontId="16" fillId="3" borderId="15" xfId="0" quotePrefix="1" applyNumberFormat="1" applyFont="1" applyFill="1" applyBorder="1" applyAlignment="1">
      <alignment horizontal="center" vertical="center" wrapText="1"/>
    </xf>
    <xf numFmtId="17" fontId="16" fillId="7" borderId="16" xfId="0" applyNumberFormat="1" applyFont="1" applyFill="1" applyBorder="1" applyAlignment="1">
      <alignment horizontal="right" vertical="center"/>
    </xf>
    <xf numFmtId="49" fontId="16" fillId="8" borderId="17" xfId="0" quotePrefix="1" applyNumberFormat="1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3" borderId="18" xfId="0" applyFont="1" applyFill="1" applyBorder="1">
      <alignment vertical="center"/>
    </xf>
    <xf numFmtId="0" fontId="4" fillId="0" borderId="19" xfId="0" applyFont="1" applyBorder="1">
      <alignment vertical="center"/>
    </xf>
    <xf numFmtId="0" fontId="16" fillId="0" borderId="1" xfId="0" applyFont="1" applyBorder="1">
      <alignment vertical="center"/>
    </xf>
    <xf numFmtId="176" fontId="4" fillId="0" borderId="1" xfId="2" applyNumberFormat="1" applyFont="1" applyFill="1" applyBorder="1">
      <alignment vertical="center"/>
    </xf>
    <xf numFmtId="0" fontId="18" fillId="9" borderId="1" xfId="0" applyFont="1" applyFill="1" applyBorder="1">
      <alignment vertical="center"/>
    </xf>
    <xf numFmtId="177" fontId="4" fillId="3" borderId="4" xfId="2" applyNumberFormat="1" applyFont="1" applyFill="1" applyBorder="1">
      <alignment vertical="center"/>
    </xf>
    <xf numFmtId="177" fontId="4" fillId="0" borderId="1" xfId="1" applyNumberFormat="1" applyFont="1" applyFill="1" applyBorder="1">
      <alignment vertical="center"/>
    </xf>
    <xf numFmtId="0" fontId="19" fillId="0" borderId="1" xfId="0" applyFont="1" applyBorder="1">
      <alignment vertical="center"/>
    </xf>
    <xf numFmtId="177" fontId="20" fillId="0" borderId="0" xfId="1" applyNumberFormat="1" applyFont="1" applyFill="1" applyBorder="1">
      <alignment vertical="center"/>
    </xf>
    <xf numFmtId="177" fontId="20" fillId="0" borderId="1" xfId="1" applyNumberFormat="1" applyFont="1" applyFill="1" applyBorder="1">
      <alignment vertical="center"/>
    </xf>
    <xf numFmtId="0" fontId="21" fillId="0" borderId="0" xfId="0" applyFont="1">
      <alignment vertical="center"/>
    </xf>
    <xf numFmtId="0" fontId="4" fillId="0" borderId="20" xfId="0" applyFont="1" applyBorder="1">
      <alignment vertical="center"/>
    </xf>
    <xf numFmtId="177" fontId="4" fillId="0" borderId="12" xfId="1" applyNumberFormat="1" applyFont="1" applyFill="1" applyBorder="1">
      <alignment vertical="center"/>
    </xf>
    <xf numFmtId="177" fontId="4" fillId="3" borderId="21" xfId="1" applyNumberFormat="1" applyFont="1" applyFill="1" applyBorder="1">
      <alignment vertical="center"/>
    </xf>
    <xf numFmtId="177" fontId="4" fillId="0" borderId="20" xfId="1" applyNumberFormat="1" applyFont="1" applyFill="1" applyBorder="1">
      <alignment vertical="center"/>
    </xf>
    <xf numFmtId="0" fontId="18" fillId="0" borderId="22" xfId="0" applyFont="1" applyBorder="1">
      <alignment vertical="center"/>
    </xf>
    <xf numFmtId="0" fontId="18" fillId="0" borderId="1" xfId="0" applyFont="1" applyBorder="1">
      <alignment vertical="center"/>
    </xf>
    <xf numFmtId="0" fontId="18" fillId="0" borderId="23" xfId="0" applyFont="1" applyBorder="1">
      <alignment vertical="center"/>
    </xf>
    <xf numFmtId="177" fontId="4" fillId="0" borderId="24" xfId="1" applyNumberFormat="1" applyFont="1" applyFill="1" applyBorder="1">
      <alignment vertical="center"/>
    </xf>
    <xf numFmtId="177" fontId="4" fillId="3" borderId="25" xfId="1" applyNumberFormat="1" applyFont="1" applyFill="1" applyBorder="1">
      <alignment vertical="center"/>
    </xf>
    <xf numFmtId="177" fontId="4" fillId="0" borderId="23" xfId="1" applyNumberFormat="1" applyFont="1" applyFill="1" applyBorder="1">
      <alignment vertical="center"/>
    </xf>
    <xf numFmtId="0" fontId="4" fillId="0" borderId="26" xfId="0" applyFont="1" applyBorder="1">
      <alignment vertical="center"/>
    </xf>
    <xf numFmtId="178" fontId="4" fillId="2" borderId="2" xfId="0" applyNumberFormat="1" applyFont="1" applyFill="1" applyBorder="1">
      <alignment vertical="center"/>
    </xf>
    <xf numFmtId="178" fontId="4" fillId="3" borderId="27" xfId="0" applyNumberFormat="1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18" fillId="0" borderId="26" xfId="0" applyFont="1" applyBorder="1">
      <alignment vertical="center"/>
    </xf>
    <xf numFmtId="0" fontId="4" fillId="0" borderId="9" xfId="0" applyFont="1" applyBorder="1">
      <alignment vertical="center"/>
    </xf>
    <xf numFmtId="176" fontId="4" fillId="0" borderId="10" xfId="2" applyNumberFormat="1" applyFont="1" applyFill="1" applyBorder="1">
      <alignment vertical="center"/>
    </xf>
    <xf numFmtId="176" fontId="4" fillId="3" borderId="28" xfId="2" applyNumberFormat="1" applyFont="1" applyFill="1" applyBorder="1">
      <alignment vertical="center"/>
    </xf>
    <xf numFmtId="0" fontId="24" fillId="0" borderId="0" xfId="0" applyFont="1">
      <alignment vertical="center"/>
    </xf>
    <xf numFmtId="17" fontId="16" fillId="6" borderId="29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/>
    </xf>
    <xf numFmtId="0" fontId="25" fillId="0" borderId="0" xfId="0" applyFont="1">
      <alignment vertical="center"/>
    </xf>
    <xf numFmtId="176" fontId="16" fillId="0" borderId="30" xfId="0" applyNumberFormat="1" applyFont="1" applyBorder="1" applyAlignment="1">
      <alignment horizontal="left" vertical="center"/>
    </xf>
    <xf numFmtId="179" fontId="16" fillId="0" borderId="3" xfId="1" applyNumberFormat="1" applyFont="1" applyFill="1" applyBorder="1">
      <alignment vertical="center"/>
    </xf>
    <xf numFmtId="0" fontId="16" fillId="3" borderId="18" xfId="0" applyFont="1" applyFill="1" applyBorder="1">
      <alignment vertical="center"/>
    </xf>
    <xf numFmtId="176" fontId="4" fillId="0" borderId="0" xfId="2" applyNumberFormat="1" applyFont="1" applyFill="1" applyBorder="1" applyAlignment="1">
      <alignment horizontal="right" vertical="center"/>
    </xf>
    <xf numFmtId="176" fontId="4" fillId="0" borderId="9" xfId="0" applyNumberFormat="1" applyFont="1" applyBorder="1" applyAlignment="1">
      <alignment horizontal="left"/>
    </xf>
    <xf numFmtId="176" fontId="26" fillId="0" borderId="0" xfId="3" applyNumberFormat="1" applyFont="1" applyAlignment="1">
      <alignment horizontal="left" vertical="center"/>
    </xf>
    <xf numFmtId="176" fontId="27" fillId="0" borderId="0" xfId="2" applyNumberFormat="1" applyFont="1" applyFill="1" applyBorder="1">
      <alignment vertical="center"/>
    </xf>
    <xf numFmtId="176" fontId="28" fillId="0" borderId="0" xfId="3" applyNumberFormat="1" applyFont="1" applyAlignment="1">
      <alignment horizontal="left"/>
    </xf>
    <xf numFmtId="0" fontId="4" fillId="0" borderId="0" xfId="0" applyFont="1" applyAlignment="1">
      <alignment horizontal="right" vertical="center"/>
    </xf>
    <xf numFmtId="0" fontId="26" fillId="0" borderId="0" xfId="0" applyFont="1">
      <alignment vertical="center"/>
    </xf>
    <xf numFmtId="0" fontId="29" fillId="0" borderId="0" xfId="0" applyFont="1">
      <alignment vertical="center"/>
    </xf>
    <xf numFmtId="176" fontId="26" fillId="0" borderId="0" xfId="3" applyNumberFormat="1" applyFont="1">
      <alignment vertical="center"/>
    </xf>
    <xf numFmtId="176" fontId="21" fillId="0" borderId="0" xfId="3" applyNumberFormat="1" applyFont="1" applyAlignment="1">
      <alignment horizontal="left" vertical="center"/>
    </xf>
    <xf numFmtId="177" fontId="17" fillId="0" borderId="0" xfId="1" applyNumberFormat="1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176" fontId="14" fillId="0" borderId="1" xfId="2" applyNumberFormat="1" applyFont="1" applyFill="1" applyBorder="1" applyAlignment="1">
      <alignment vertical="center"/>
    </xf>
    <xf numFmtId="177" fontId="14" fillId="4" borderId="1" xfId="1" applyNumberFormat="1" applyFont="1" applyFill="1" applyBorder="1" applyAlignment="1">
      <alignment vertical="center"/>
    </xf>
    <xf numFmtId="177" fontId="14" fillId="4" borderId="8" xfId="1" applyNumberFormat="1" applyFont="1" applyFill="1" applyBorder="1" applyAlignment="1">
      <alignment vertical="center"/>
    </xf>
    <xf numFmtId="176" fontId="14" fillId="4" borderId="1" xfId="2" applyNumberFormat="1" applyFont="1" applyFill="1" applyBorder="1" applyAlignment="1">
      <alignment vertical="center"/>
    </xf>
    <xf numFmtId="176" fontId="14" fillId="4" borderId="8" xfId="2" applyNumberFormat="1" applyFont="1" applyFill="1" applyBorder="1" applyAlignment="1">
      <alignment vertical="center"/>
    </xf>
    <xf numFmtId="43" fontId="14" fillId="4" borderId="1" xfId="1" applyFont="1" applyFill="1" applyBorder="1" applyAlignment="1">
      <alignment vertical="center"/>
    </xf>
    <xf numFmtId="43" fontId="14" fillId="4" borderId="8" xfId="1" applyFont="1" applyFill="1" applyBorder="1" applyAlignment="1">
      <alignment vertical="center"/>
    </xf>
    <xf numFmtId="43" fontId="14" fillId="0" borderId="1" xfId="1" applyFont="1" applyFill="1" applyBorder="1" applyAlignment="1">
      <alignment vertical="center"/>
    </xf>
    <xf numFmtId="176" fontId="14" fillId="0" borderId="10" xfId="2" applyNumberFormat="1" applyFont="1" applyFill="1" applyBorder="1" applyAlignment="1">
      <alignment vertical="center"/>
    </xf>
    <xf numFmtId="177" fontId="14" fillId="0" borderId="1" xfId="1" applyNumberFormat="1" applyFont="1" applyFill="1" applyBorder="1" applyAlignment="1">
      <alignment vertical="center"/>
    </xf>
    <xf numFmtId="177" fontId="14" fillId="0" borderId="9" xfId="1" applyNumberFormat="1" applyFont="1" applyFill="1" applyBorder="1" applyAlignment="1">
      <alignment vertical="center"/>
    </xf>
    <xf numFmtId="177" fontId="14" fillId="0" borderId="10" xfId="1" applyNumberFormat="1" applyFont="1" applyFill="1" applyBorder="1" applyAlignment="1">
      <alignment vertical="center"/>
    </xf>
    <xf numFmtId="177" fontId="14" fillId="0" borderId="8" xfId="1" applyNumberFormat="1" applyFont="1" applyFill="1" applyBorder="1" applyAlignment="1">
      <alignment vertical="center"/>
    </xf>
    <xf numFmtId="43" fontId="14" fillId="0" borderId="8" xfId="1" applyFont="1" applyFill="1" applyBorder="1" applyAlignment="1">
      <alignment vertical="center"/>
    </xf>
    <xf numFmtId="177" fontId="14" fillId="0" borderId="11" xfId="1" applyNumberFormat="1" applyFont="1" applyFill="1" applyBorder="1" applyAlignment="1">
      <alignment vertical="center"/>
    </xf>
    <xf numFmtId="176" fontId="14" fillId="0" borderId="8" xfId="2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0" fontId="32" fillId="0" borderId="1" xfId="0" applyFont="1" applyBorder="1">
      <alignment vertical="center"/>
    </xf>
    <xf numFmtId="0" fontId="32" fillId="0" borderId="0" xfId="0" applyFont="1">
      <alignment vertical="center"/>
    </xf>
    <xf numFmtId="0" fontId="32" fillId="0" borderId="32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180" fontId="32" fillId="0" borderId="3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80" fontId="32" fillId="0" borderId="34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10" fontId="32" fillId="0" borderId="34" xfId="2" applyNumberFormat="1" applyFont="1" applyBorder="1" applyAlignment="1">
      <alignment horizontal="center" vertical="center"/>
    </xf>
    <xf numFmtId="10" fontId="32" fillId="0" borderId="31" xfId="2" applyNumberFormat="1" applyFont="1" applyBorder="1" applyAlignment="1">
      <alignment horizontal="center" vertical="center"/>
    </xf>
    <xf numFmtId="10" fontId="32" fillId="0" borderId="25" xfId="2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43" fontId="8" fillId="0" borderId="0" xfId="1" applyFont="1" applyFill="1" applyAlignment="1">
      <alignment horizontal="right" vertical="center"/>
    </xf>
    <xf numFmtId="10" fontId="8" fillId="0" borderId="0" xfId="2" applyNumberFormat="1" applyFont="1" applyFill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7" fontId="8" fillId="0" borderId="0" xfId="1" applyNumberFormat="1" applyFont="1" applyFill="1" applyAlignment="1">
      <alignment horizontal="right" vertical="center"/>
    </xf>
    <xf numFmtId="0" fontId="7" fillId="4" borderId="0" xfId="0" applyFont="1" applyFill="1">
      <alignment vertical="center"/>
    </xf>
    <xf numFmtId="180" fontId="8" fillId="0" borderId="0" xfId="0" applyNumberFormat="1" applyFont="1" applyAlignment="1">
      <alignment horizontal="center" vertical="center"/>
    </xf>
    <xf numFmtId="10" fontId="8" fillId="0" borderId="0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33" fillId="0" borderId="0" xfId="0" applyFont="1">
      <alignment vertical="center"/>
    </xf>
    <xf numFmtId="180" fontId="8" fillId="0" borderId="0" xfId="0" applyNumberFormat="1" applyFont="1">
      <alignment vertical="center"/>
    </xf>
    <xf numFmtId="0" fontId="9" fillId="10" borderId="0" xfId="0" applyFont="1" applyFill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76" fontId="9" fillId="0" borderId="0" xfId="2" applyNumberFormat="1" applyFont="1" applyBorder="1" applyAlignment="1">
      <alignment horizontal="center" vertical="center"/>
    </xf>
    <xf numFmtId="0" fontId="36" fillId="0" borderId="0" xfId="0" applyFont="1">
      <alignment vertical="center"/>
    </xf>
    <xf numFmtId="0" fontId="35" fillId="0" borderId="0" xfId="0" applyFont="1">
      <alignment vertical="center"/>
    </xf>
    <xf numFmtId="181" fontId="8" fillId="0" borderId="0" xfId="2" applyNumberFormat="1" applyFont="1" applyBorder="1" applyAlignment="1">
      <alignment horizontal="center" vertical="center"/>
    </xf>
    <xf numFmtId="10" fontId="8" fillId="0" borderId="0" xfId="2" applyNumberFormat="1" applyFont="1" applyFill="1" applyBorder="1" applyAlignment="1">
      <alignment horizontal="center" vertical="center"/>
    </xf>
    <xf numFmtId="181" fontId="8" fillId="0" borderId="0" xfId="2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182" fontId="8" fillId="0" borderId="0" xfId="0" applyNumberFormat="1" applyFont="1" applyAlignment="1">
      <alignment horizontal="center" vertical="center"/>
    </xf>
    <xf numFmtId="17" fontId="16" fillId="6" borderId="1" xfId="0" applyNumberFormat="1" applyFont="1" applyFill="1" applyBorder="1" applyAlignment="1">
      <alignment horizontal="left" vertical="center"/>
    </xf>
    <xf numFmtId="17" fontId="16" fillId="7" borderId="0" xfId="0" applyNumberFormat="1" applyFont="1" applyFill="1" applyAlignment="1">
      <alignment horizontal="right" vertical="center"/>
    </xf>
    <xf numFmtId="49" fontId="16" fillId="3" borderId="4" xfId="0" quotePrefix="1" applyNumberFormat="1" applyFont="1" applyFill="1" applyBorder="1" applyAlignment="1">
      <alignment horizontal="center" vertical="center" wrapText="1"/>
    </xf>
    <xf numFmtId="17" fontId="16" fillId="6" borderId="0" xfId="0" applyNumberFormat="1" applyFont="1" applyFill="1" applyAlignment="1">
      <alignment horizontal="right" vertical="center"/>
    </xf>
    <xf numFmtId="49" fontId="16" fillId="8" borderId="4" xfId="0" quotePrefix="1" applyNumberFormat="1" applyFont="1" applyFill="1" applyBorder="1" applyAlignment="1">
      <alignment horizontal="center" vertical="center" wrapText="1"/>
    </xf>
    <xf numFmtId="0" fontId="4" fillId="0" borderId="3" xfId="0" applyFont="1" applyBorder="1">
      <alignment vertical="center"/>
    </xf>
    <xf numFmtId="0" fontId="9" fillId="9" borderId="31" xfId="0" applyFont="1" applyFill="1" applyBorder="1">
      <alignment vertical="center"/>
    </xf>
    <xf numFmtId="0" fontId="41" fillId="9" borderId="31" xfId="0" applyFont="1" applyFill="1" applyBorder="1" applyAlignment="1">
      <alignment horizontal="center" vertical="center"/>
    </xf>
    <xf numFmtId="0" fontId="42" fillId="9" borderId="31" xfId="0" applyFont="1" applyFill="1" applyBorder="1" applyAlignment="1">
      <alignment horizontal="center" vertical="center"/>
    </xf>
    <xf numFmtId="0" fontId="43" fillId="9" borderId="31" xfId="0" applyFont="1" applyFill="1" applyBorder="1" applyAlignment="1">
      <alignment horizontal="center" vertical="center"/>
    </xf>
    <xf numFmtId="0" fontId="15" fillId="11" borderId="31" xfId="0" applyFont="1" applyFill="1" applyBorder="1">
      <alignment vertical="center"/>
    </xf>
    <xf numFmtId="0" fontId="9" fillId="0" borderId="31" xfId="0" applyFont="1" applyBorder="1">
      <alignment vertical="center"/>
    </xf>
    <xf numFmtId="0" fontId="46" fillId="0" borderId="0" xfId="0" applyFont="1">
      <alignment vertical="center"/>
    </xf>
    <xf numFmtId="10" fontId="47" fillId="0" borderId="0" xfId="2" applyNumberFormat="1" applyFont="1" applyFill="1" applyBorder="1" applyAlignment="1">
      <alignment horizontal="center" vertical="center"/>
    </xf>
    <xf numFmtId="0" fontId="48" fillId="12" borderId="0" xfId="0" applyFont="1" applyFill="1">
      <alignment vertical="center"/>
    </xf>
    <xf numFmtId="0" fontId="48" fillId="13" borderId="0" xfId="0" applyFont="1" applyFill="1">
      <alignment vertical="center"/>
    </xf>
    <xf numFmtId="0" fontId="30" fillId="12" borderId="31" xfId="0" applyFont="1" applyFill="1" applyBorder="1">
      <alignment vertical="center"/>
    </xf>
    <xf numFmtId="0" fontId="14" fillId="9" borderId="31" xfId="0" applyFont="1" applyFill="1" applyBorder="1">
      <alignment vertical="center"/>
    </xf>
    <xf numFmtId="0" fontId="30" fillId="13" borderId="31" xfId="0" applyFont="1" applyFill="1" applyBorder="1">
      <alignment vertical="center"/>
    </xf>
    <xf numFmtId="2" fontId="14" fillId="9" borderId="31" xfId="0" applyNumberFormat="1" applyFont="1" applyFill="1" applyBorder="1">
      <alignment vertical="center"/>
    </xf>
    <xf numFmtId="0" fontId="0" fillId="0" borderId="31" xfId="0" applyBorder="1">
      <alignment vertical="center"/>
    </xf>
    <xf numFmtId="0" fontId="50" fillId="14" borderId="35" xfId="0" applyFont="1" applyFill="1" applyBorder="1">
      <alignment vertical="center"/>
    </xf>
    <xf numFmtId="0" fontId="50" fillId="14" borderId="36" xfId="0" applyFont="1" applyFill="1" applyBorder="1">
      <alignment vertical="center"/>
    </xf>
    <xf numFmtId="0" fontId="51" fillId="0" borderId="37" xfId="0" applyFont="1" applyBorder="1">
      <alignment vertical="center"/>
    </xf>
    <xf numFmtId="0" fontId="53" fillId="0" borderId="11" xfId="0" applyFont="1" applyBorder="1">
      <alignment vertical="center"/>
    </xf>
    <xf numFmtId="0" fontId="52" fillId="0" borderId="11" xfId="0" applyFont="1" applyBorder="1">
      <alignment vertical="center"/>
    </xf>
    <xf numFmtId="9" fontId="52" fillId="0" borderId="11" xfId="0" applyNumberFormat="1" applyFont="1" applyBorder="1">
      <alignment vertical="center"/>
    </xf>
    <xf numFmtId="0" fontId="52" fillId="0" borderId="37" xfId="0" applyFont="1" applyBorder="1">
      <alignment vertical="center"/>
    </xf>
    <xf numFmtId="0" fontId="54" fillId="15" borderId="31" xfId="0" applyFont="1" applyFill="1" applyBorder="1">
      <alignment vertical="center"/>
    </xf>
    <xf numFmtId="0" fontId="56" fillId="0" borderId="31" xfId="0" applyFont="1" applyBorder="1">
      <alignment vertical="center"/>
    </xf>
    <xf numFmtId="0" fontId="0" fillId="18" borderId="31" xfId="0" applyFill="1" applyBorder="1">
      <alignment vertical="center"/>
    </xf>
    <xf numFmtId="0" fontId="45" fillId="17" borderId="0" xfId="0" applyFont="1" applyFill="1">
      <alignment vertical="center"/>
    </xf>
    <xf numFmtId="0" fontId="45" fillId="17" borderId="31" xfId="0" applyFont="1" applyFill="1" applyBorder="1">
      <alignment vertical="center"/>
    </xf>
    <xf numFmtId="0" fontId="45" fillId="18" borderId="0" xfId="0" applyFont="1" applyFill="1">
      <alignment vertical="center"/>
    </xf>
    <xf numFmtId="3" fontId="0" fillId="18" borderId="31" xfId="0" applyNumberFormat="1" applyFill="1" applyBorder="1" applyAlignment="1">
      <alignment horizontal="right" vertical="center"/>
    </xf>
    <xf numFmtId="10" fontId="0" fillId="18" borderId="31" xfId="0" applyNumberFormat="1" applyFill="1" applyBorder="1" applyAlignment="1">
      <alignment horizontal="right" vertical="center"/>
    </xf>
    <xf numFmtId="3" fontId="0" fillId="0" borderId="31" xfId="0" applyNumberFormat="1" applyBorder="1" applyAlignment="1">
      <alignment horizontal="right" vertical="center"/>
    </xf>
    <xf numFmtId="10" fontId="0" fillId="0" borderId="31" xfId="0" applyNumberFormat="1" applyBorder="1" applyAlignment="1">
      <alignment horizontal="right" vertical="center"/>
    </xf>
    <xf numFmtId="2" fontId="0" fillId="18" borderId="31" xfId="0" applyNumberFormat="1" applyFill="1" applyBorder="1" applyAlignment="1">
      <alignment horizontal="right" vertical="center"/>
    </xf>
    <xf numFmtId="183" fontId="0" fillId="0" borderId="31" xfId="0" applyNumberFormat="1" applyBorder="1" applyAlignment="1">
      <alignment horizontal="right" vertical="center"/>
    </xf>
    <xf numFmtId="10" fontId="0" fillId="18" borderId="0" xfId="0" applyNumberFormat="1" applyFill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54" fillId="15" borderId="31" xfId="0" applyFont="1" applyFill="1" applyBorder="1" applyAlignment="1">
      <alignment horizontal="center" vertical="center"/>
    </xf>
    <xf numFmtId="0" fontId="57" fillId="0" borderId="31" xfId="0" applyFont="1" applyBorder="1" applyAlignment="1">
      <alignment horizontal="center" vertical="center"/>
    </xf>
    <xf numFmtId="2" fontId="4" fillId="0" borderId="0" xfId="1" applyNumberFormat="1" applyFont="1" applyFill="1" applyBorder="1">
      <alignment vertical="center"/>
    </xf>
    <xf numFmtId="0" fontId="59" fillId="12" borderId="0" xfId="0" applyFont="1" applyFill="1">
      <alignment vertical="center"/>
    </xf>
    <xf numFmtId="0" fontId="60" fillId="0" borderId="0" xfId="0" applyFont="1">
      <alignment vertical="center"/>
    </xf>
    <xf numFmtId="0" fontId="59" fillId="0" borderId="0" xfId="0" applyFont="1">
      <alignment vertical="center"/>
    </xf>
    <xf numFmtId="0" fontId="61" fillId="0" borderId="0" xfId="0" applyFont="1">
      <alignment vertical="center"/>
    </xf>
    <xf numFmtId="0" fontId="62" fillId="15" borderId="31" xfId="0" applyFont="1" applyFill="1" applyBorder="1">
      <alignment vertical="center"/>
    </xf>
    <xf numFmtId="0" fontId="58" fillId="0" borderId="31" xfId="0" applyFont="1" applyBorder="1">
      <alignment vertical="center"/>
    </xf>
    <xf numFmtId="4" fontId="58" fillId="0" borderId="31" xfId="0" applyNumberFormat="1" applyFont="1" applyBorder="1">
      <alignment vertical="center"/>
    </xf>
    <xf numFmtId="10" fontId="58" fillId="0" borderId="31" xfId="0" applyNumberFormat="1" applyFont="1" applyBorder="1">
      <alignment vertical="center"/>
    </xf>
    <xf numFmtId="0" fontId="61" fillId="0" borderId="0" xfId="0" applyFont="1" applyAlignment="1">
      <alignment horizontal="center" vertical="center"/>
    </xf>
    <xf numFmtId="180" fontId="61" fillId="0" borderId="0" xfId="0" applyNumberFormat="1" applyFont="1" applyAlignment="1">
      <alignment horizontal="center" vertical="center"/>
    </xf>
    <xf numFmtId="10" fontId="61" fillId="0" borderId="0" xfId="2" applyNumberFormat="1" applyFont="1" applyFill="1" applyBorder="1" applyAlignment="1">
      <alignment horizontal="center" vertical="center"/>
    </xf>
    <xf numFmtId="10" fontId="61" fillId="0" borderId="0" xfId="2" applyNumberFormat="1" applyFont="1" applyBorder="1" applyAlignment="1">
      <alignment horizontal="center" vertical="center"/>
    </xf>
    <xf numFmtId="0" fontId="63" fillId="0" borderId="0" xfId="0" applyFont="1">
      <alignment vertical="center"/>
    </xf>
    <xf numFmtId="0" fontId="46" fillId="9" borderId="0" xfId="0" applyFont="1" applyFill="1">
      <alignment vertical="center"/>
    </xf>
    <xf numFmtId="0" fontId="47" fillId="9" borderId="0" xfId="0" applyFont="1" applyFill="1">
      <alignment vertical="center"/>
    </xf>
    <xf numFmtId="0" fontId="47" fillId="9" borderId="0" xfId="0" applyFont="1" applyFill="1" applyAlignment="1">
      <alignment horizontal="right" vertical="center"/>
    </xf>
    <xf numFmtId="0" fontId="47" fillId="9" borderId="0" xfId="0" applyFont="1" applyFill="1" applyAlignment="1">
      <alignment horizontal="center" vertical="center"/>
    </xf>
    <xf numFmtId="180" fontId="47" fillId="9" borderId="0" xfId="0" applyNumberFormat="1" applyFont="1" applyFill="1" applyAlignment="1">
      <alignment horizontal="center" vertical="center"/>
    </xf>
    <xf numFmtId="10" fontId="47" fillId="9" borderId="0" xfId="2" applyNumberFormat="1" applyFont="1" applyFill="1" applyBorder="1" applyAlignment="1">
      <alignment horizontal="center" vertical="center"/>
    </xf>
    <xf numFmtId="0" fontId="47" fillId="5" borderId="31" xfId="0" applyFont="1" applyFill="1" applyBorder="1" applyAlignment="1">
      <alignment horizontal="center" vertical="center"/>
    </xf>
    <xf numFmtId="0" fontId="47" fillId="9" borderId="31" xfId="0" applyFont="1" applyFill="1" applyBorder="1" applyAlignment="1">
      <alignment horizontal="center" vertical="center"/>
    </xf>
    <xf numFmtId="180" fontId="47" fillId="9" borderId="31" xfId="0" applyNumberFormat="1" applyFont="1" applyFill="1" applyBorder="1" applyAlignment="1">
      <alignment horizontal="center" vertical="center"/>
    </xf>
    <xf numFmtId="10" fontId="47" fillId="9" borderId="31" xfId="2" applyNumberFormat="1" applyFont="1" applyFill="1" applyBorder="1" applyAlignment="1">
      <alignment horizontal="center" vertical="center"/>
    </xf>
    <xf numFmtId="0" fontId="46" fillId="9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45" fillId="16" borderId="0" xfId="0" applyFont="1" applyFill="1">
      <alignment vertical="center"/>
    </xf>
    <xf numFmtId="0" fontId="0" fillId="0" borderId="0" xfId="0">
      <alignment vertical="center"/>
    </xf>
    <xf numFmtId="0" fontId="49" fillId="0" borderId="0" xfId="0" applyFont="1" applyAlignment="1">
      <alignment horizontal="center" vertical="center"/>
    </xf>
    <xf numFmtId="0" fontId="55" fillId="0" borderId="0" xfId="0" applyFont="1">
      <alignment vertical="center"/>
    </xf>
    <xf numFmtId="0" fontId="41" fillId="9" borderId="3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2">
    <cellStyle name="一般" xfId="0" builtinId="0"/>
    <cellStyle name="一般 2" xfId="6" xr:uid="{9078517B-EF9D-41E7-B401-7D70690B3C4E}"/>
    <cellStyle name="一般 3" xfId="7" xr:uid="{DF94F5CA-7CCD-4F9F-923B-72B619FB02F0}"/>
    <cellStyle name="一般 4" xfId="5" xr:uid="{069F78E0-5159-4273-A058-20BFD1B53C9E}"/>
    <cellStyle name="一般_TCC fact sheet" xfId="3" xr:uid="{DD82C1A8-9C87-4C86-977C-A388C7C302FC}"/>
    <cellStyle name="千分位" xfId="1" builtinId="3"/>
    <cellStyle name="千分位 2" xfId="8" xr:uid="{70D935DF-E75E-4A67-A134-2B6B9BC98D71}"/>
    <cellStyle name="百分比" xfId="2" builtinId="5"/>
    <cellStyle name="百分比 2" xfId="4" xr:uid="{278717A5-3EDA-4F32-9719-67C829B4E4C4}"/>
    <cellStyle name="百分比 2 2" xfId="10" xr:uid="{C6B49DCD-3122-4592-ADE5-BA6948A118B7}"/>
    <cellStyle name="百分比 3" xfId="11" xr:uid="{6F7CAD68-41BE-4913-8744-60A0FA36553E}"/>
    <cellStyle name="百分比 4" xfId="9" xr:uid="{53568110-4E14-480E-8342-E4F1B5F04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41CF-B37E-4147-9EF9-128C4DECE274}">
  <dimension ref="A1:AZ30"/>
  <sheetViews>
    <sheetView workbookViewId="0">
      <pane xSplit="2" ySplit="3" topLeftCell="P4" activePane="bottomRight" state="frozen"/>
      <selection pane="topRight" activeCell="D1" sqref="D1"/>
      <selection pane="bottomLeft" activeCell="A3" sqref="A3"/>
      <selection pane="bottomRight" activeCell="S18" sqref="S18"/>
    </sheetView>
  </sheetViews>
  <sheetFormatPr defaultRowHeight="16.2"/>
  <cols>
    <col min="1" max="1" width="25" customWidth="1"/>
    <col min="2" max="2" width="12.109375" customWidth="1"/>
    <col min="3" max="26" width="13.21875" customWidth="1"/>
    <col min="28" max="36" width="11.88671875" bestFit="1" customWidth="1"/>
    <col min="41" max="41" width="11" customWidth="1"/>
  </cols>
  <sheetData>
    <row r="1" spans="1:52" ht="24" customHeight="1" thickBot="1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</row>
    <row r="2" spans="1:52" s="87" customFormat="1" ht="18" customHeight="1">
      <c r="A2" s="86"/>
      <c r="B2" s="86"/>
      <c r="C2" s="217">
        <v>2023</v>
      </c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9"/>
      <c r="O2" s="218">
        <v>2024</v>
      </c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B2" s="218">
        <v>2025</v>
      </c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O2" s="218">
        <v>2026</v>
      </c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</row>
    <row r="3" spans="1:52">
      <c r="A3" s="13"/>
      <c r="B3" s="13"/>
      <c r="C3" s="88" t="s">
        <v>20</v>
      </c>
      <c r="D3" s="12" t="s">
        <v>21</v>
      </c>
      <c r="E3" s="12" t="s">
        <v>22</v>
      </c>
      <c r="F3" s="12" t="s">
        <v>23</v>
      </c>
      <c r="G3" s="12" t="s">
        <v>24</v>
      </c>
      <c r="H3" s="12" t="s">
        <v>25</v>
      </c>
      <c r="I3" s="12" t="s">
        <v>26</v>
      </c>
      <c r="J3" s="12" t="s">
        <v>27</v>
      </c>
      <c r="K3" s="12" t="s">
        <v>28</v>
      </c>
      <c r="L3" s="12" t="s">
        <v>29</v>
      </c>
      <c r="M3" s="12" t="s">
        <v>30</v>
      </c>
      <c r="N3" s="123" t="s">
        <v>31</v>
      </c>
      <c r="O3" s="12" t="s">
        <v>20</v>
      </c>
      <c r="P3" s="12" t="s">
        <v>21</v>
      </c>
      <c r="Q3" s="12" t="s">
        <v>22</v>
      </c>
      <c r="R3" s="12" t="s">
        <v>23</v>
      </c>
      <c r="S3" s="12" t="s">
        <v>24</v>
      </c>
      <c r="T3" s="12" t="s">
        <v>25</v>
      </c>
      <c r="U3" s="12" t="s">
        <v>26</v>
      </c>
      <c r="V3" s="12" t="s">
        <v>27</v>
      </c>
      <c r="W3" s="12" t="s">
        <v>28</v>
      </c>
      <c r="X3" s="12" t="s">
        <v>29</v>
      </c>
      <c r="Y3" s="12" t="s">
        <v>30</v>
      </c>
      <c r="Z3" s="12" t="s">
        <v>31</v>
      </c>
      <c r="AB3" s="12" t="s">
        <v>20</v>
      </c>
      <c r="AC3" s="12" t="s">
        <v>21</v>
      </c>
      <c r="AD3" s="12" t="s">
        <v>22</v>
      </c>
      <c r="AE3" s="12" t="s">
        <v>23</v>
      </c>
      <c r="AF3" s="12" t="s">
        <v>24</v>
      </c>
      <c r="AG3" s="12" t="s">
        <v>25</v>
      </c>
      <c r="AH3" s="12" t="s">
        <v>26</v>
      </c>
      <c r="AI3" s="12" t="s">
        <v>27</v>
      </c>
      <c r="AJ3" s="12" t="s">
        <v>28</v>
      </c>
      <c r="AK3" s="12" t="s">
        <v>29</v>
      </c>
      <c r="AL3" s="12" t="s">
        <v>30</v>
      </c>
      <c r="AM3" s="12" t="s">
        <v>31</v>
      </c>
      <c r="AO3" s="12" t="s">
        <v>20</v>
      </c>
      <c r="AP3" s="12" t="s">
        <v>21</v>
      </c>
      <c r="AQ3" s="12" t="s">
        <v>22</v>
      </c>
      <c r="AR3" s="12" t="s">
        <v>23</v>
      </c>
      <c r="AS3" s="12" t="s">
        <v>24</v>
      </c>
      <c r="AT3" s="12" t="s">
        <v>25</v>
      </c>
      <c r="AU3" s="12" t="s">
        <v>26</v>
      </c>
      <c r="AV3" s="12" t="s">
        <v>27</v>
      </c>
      <c r="AW3" s="12" t="s">
        <v>28</v>
      </c>
      <c r="AX3" s="12" t="s">
        <v>29</v>
      </c>
      <c r="AY3" s="12" t="s">
        <v>30</v>
      </c>
      <c r="AZ3" s="12" t="s">
        <v>31</v>
      </c>
    </row>
    <row r="4" spans="1:52">
      <c r="A4" s="17" t="s">
        <v>2</v>
      </c>
      <c r="B4" s="20" t="s">
        <v>18</v>
      </c>
      <c r="C4" s="90">
        <f>raw!B32</f>
        <v>14814.979313112899</v>
      </c>
      <c r="D4" s="18">
        <f>raw!C32</f>
        <v>13735.482890977801</v>
      </c>
      <c r="E4" s="18">
        <f>raw!D32</f>
        <v>14464.875976774299</v>
      </c>
      <c r="F4" s="18">
        <f>raw!E32</f>
        <v>13685.917272225099</v>
      </c>
      <c r="G4" s="18">
        <f>raw!F32</f>
        <v>14776.8409662383</v>
      </c>
      <c r="H4" s="18">
        <f>raw!G32</f>
        <v>15083.560642738301</v>
      </c>
      <c r="I4" s="18">
        <f>raw!H32</f>
        <v>14274.763563082599</v>
      </c>
      <c r="J4" s="18">
        <f>raw!I32</f>
        <v>14561.723196991399</v>
      </c>
      <c r="K4" s="18">
        <f>raw!J32</f>
        <v>14350.5652457043</v>
      </c>
      <c r="L4" s="18">
        <f>raw!K32</f>
        <v>14817.542416784001</v>
      </c>
      <c r="M4" s="18">
        <f>raw!L32</f>
        <v>21700.686301605401</v>
      </c>
      <c r="N4" s="91">
        <f>raw!M32</f>
        <v>17080.886801372901</v>
      </c>
      <c r="O4" s="18">
        <f>raw!O32</f>
        <v>16958.579452999998</v>
      </c>
      <c r="P4" s="18">
        <f>raw!P32</f>
        <v>15247.917868</v>
      </c>
      <c r="Q4" s="18">
        <f>raw!Q32</f>
        <v>16070.134168</v>
      </c>
      <c r="R4" s="18">
        <f>raw!R32</f>
        <v>15042.778586</v>
      </c>
      <c r="S4" s="18">
        <f>raw!S32</f>
        <v>16031.947122</v>
      </c>
      <c r="T4" s="18">
        <f>raw!T32</f>
        <v>16669.169867000001</v>
      </c>
      <c r="U4" s="18">
        <f>raw!U32</f>
        <v>15470.631192000001</v>
      </c>
      <c r="V4" s="18">
        <f>raw!V32</f>
        <v>15817.810332999999</v>
      </c>
      <c r="W4" s="18">
        <f>raw!W32</f>
        <v>15913.075638</v>
      </c>
      <c r="X4" s="18">
        <f>raw!X32</f>
        <v>15929.971154999999</v>
      </c>
      <c r="Y4" s="18">
        <f>raw!Y32</f>
        <v>23065.358815</v>
      </c>
      <c r="Z4" s="18">
        <f>raw!Z32</f>
        <v>17156.530975000001</v>
      </c>
      <c r="AB4" s="25">
        <f>raw!AB32</f>
        <v>16461.916163000002</v>
      </c>
      <c r="AC4" s="25">
        <f>raw!AC32</f>
        <v>15528.062521</v>
      </c>
      <c r="AD4" s="25">
        <f>raw!AD32</f>
        <v>16177.374327</v>
      </c>
      <c r="AE4" s="25">
        <f>raw!AE32</f>
        <v>15393.306404999999</v>
      </c>
      <c r="AF4" s="25">
        <f>raw!AF32</f>
        <v>15823.031730000001</v>
      </c>
      <c r="AG4" s="25">
        <f>raw!AG32</f>
        <v>16254.676384</v>
      </c>
      <c r="AH4" s="25">
        <f>raw!AH32</f>
        <v>15092.708366000001</v>
      </c>
      <c r="AI4" s="25">
        <f>raw!AI32</f>
        <v>15468.138074</v>
      </c>
      <c r="AJ4" s="25">
        <f>raw!AJ32</f>
        <v>15778.960085000001</v>
      </c>
      <c r="AK4" s="18">
        <f>raw!AK32</f>
        <v>15624.962855965901</v>
      </c>
      <c r="AL4" s="18">
        <f>raw!AL32</f>
        <v>23112.129747400701</v>
      </c>
      <c r="AM4" s="18">
        <f>raw!AM32</f>
        <v>18049.316333740899</v>
      </c>
      <c r="AO4" s="18">
        <f>raw!AO32</f>
        <v>17145.4583278928</v>
      </c>
      <c r="AP4" s="18">
        <f>raw!AP32</f>
        <v>15523.5543110693</v>
      </c>
      <c r="AQ4" s="18">
        <f>raw!AQ32</f>
        <v>17109.2901424093</v>
      </c>
      <c r="AR4" s="18">
        <f>raw!AR32</f>
        <v>15669.304640660601</v>
      </c>
      <c r="AS4" s="18">
        <f>raw!AS32</f>
        <v>16440.6828232767</v>
      </c>
      <c r="AT4" s="18">
        <f>raw!AT32</f>
        <v>0</v>
      </c>
      <c r="AU4" s="18">
        <f>raw!AU32</f>
        <v>0</v>
      </c>
      <c r="AV4" s="18">
        <f>raw!AV32</f>
        <v>0</v>
      </c>
      <c r="AW4" s="18">
        <f>raw!AW32</f>
        <v>0</v>
      </c>
      <c r="AX4" s="18">
        <f>raw!AX32</f>
        <v>0</v>
      </c>
      <c r="AY4" s="18">
        <f>raw!AY32</f>
        <v>0</v>
      </c>
      <c r="AZ4" s="18">
        <f>raw!AZ32</f>
        <v>0</v>
      </c>
    </row>
    <row r="5" spans="1:52">
      <c r="A5" s="17" t="s">
        <v>3</v>
      </c>
      <c r="B5" s="20" t="s">
        <v>19</v>
      </c>
      <c r="C5" s="90">
        <f>raw!B33</f>
        <v>2886.7427441129576</v>
      </c>
      <c r="D5" s="18">
        <f>raw!C33</f>
        <v>2839.2053132014084</v>
      </c>
      <c r="E5" s="18">
        <f>raw!D33</f>
        <v>2956.4666558637318</v>
      </c>
      <c r="F5" s="18">
        <f>raw!E33</f>
        <v>2856.6369866390278</v>
      </c>
      <c r="G5" s="18">
        <f>raw!F33</f>
        <v>2954.8399979825117</v>
      </c>
      <c r="H5" s="18">
        <f>raw!G33</f>
        <v>3095.2013175474913</v>
      </c>
      <c r="I5" s="18">
        <f>raw!H33</f>
        <v>2961.5653297105073</v>
      </c>
      <c r="J5" s="18">
        <f>raw!I33</f>
        <v>2953.7083905602676</v>
      </c>
      <c r="K5" s="18">
        <f>raw!J33</f>
        <v>2834.8833820995637</v>
      </c>
      <c r="L5" s="18">
        <f>raw!K33</f>
        <v>2830.6089718462945</v>
      </c>
      <c r="M5" s="18">
        <f>raw!L33</f>
        <v>3099.4616046065066</v>
      </c>
      <c r="N5" s="91">
        <f>raw!M33</f>
        <v>3519.4082976077098</v>
      </c>
      <c r="O5" s="18">
        <f>raw!O33</f>
        <v>3675.2648120542099</v>
      </c>
      <c r="P5" s="18">
        <f>raw!P33</f>
        <v>3331.656375780296</v>
      </c>
      <c r="Q5" s="18">
        <f>raw!Q33</f>
        <v>3580.5579168399317</v>
      </c>
      <c r="R5" s="18">
        <f>raw!R33</f>
        <v>3484.0873929574946</v>
      </c>
      <c r="S5" s="18">
        <f>raw!S33</f>
        <v>3490.7400825319337</v>
      </c>
      <c r="T5" s="18">
        <f>raw!T33</f>
        <v>3611.58500357804</v>
      </c>
      <c r="U5" s="18">
        <f>raw!U33</f>
        <v>3513.0107502023302</v>
      </c>
      <c r="V5" s="18">
        <f>raw!V33</f>
        <v>3562.6663288240024</v>
      </c>
      <c r="W5" s="18">
        <f>raw!W33</f>
        <v>3446.191014701747</v>
      </c>
      <c r="X5" s="18">
        <f>raw!X33</f>
        <v>3472.3096040193809</v>
      </c>
      <c r="Y5" s="18">
        <f>raw!Y33</f>
        <v>3855.3619639505409</v>
      </c>
      <c r="Z5" s="18">
        <f>raw!Z33</f>
        <v>3496.6581567499206</v>
      </c>
      <c r="AB5" s="25">
        <f>raw!AB33</f>
        <v>3590.6773457600002</v>
      </c>
      <c r="AC5" s="25">
        <f>raw!AC33</f>
        <v>3469.5615505199999</v>
      </c>
      <c r="AD5" s="25">
        <f>raw!AD33</f>
        <v>3494.1166316700001</v>
      </c>
      <c r="AE5" s="25">
        <f>raw!AE33</f>
        <v>3437.97506208</v>
      </c>
      <c r="AF5" s="25">
        <f>raw!AF33</f>
        <v>3496.4752810500004</v>
      </c>
      <c r="AG5" s="25">
        <f>raw!AG33</f>
        <v>3654.4694887799997</v>
      </c>
      <c r="AH5" s="25">
        <f>raw!AH33</f>
        <v>3575.9518948099999</v>
      </c>
      <c r="AI5" s="25">
        <f>raw!AI33</f>
        <v>3561.4542377600001</v>
      </c>
      <c r="AJ5" s="25">
        <f>raw!AJ33</f>
        <v>3492.8313839799998</v>
      </c>
      <c r="AK5" s="18">
        <f>raw!AK33</f>
        <v>3407.5550666614872</v>
      </c>
      <c r="AL5" s="18">
        <f>raw!AL33</f>
        <v>4029.7603394144553</v>
      </c>
      <c r="AM5" s="18">
        <f>raw!AM33</f>
        <v>3959.8724042587664</v>
      </c>
      <c r="AO5" s="18">
        <f>raw!AO33</f>
        <v>3871.9102707281095</v>
      </c>
      <c r="AP5" s="18">
        <f>raw!AP33</f>
        <v>3584.6630197037744</v>
      </c>
      <c r="AQ5" s="18">
        <f>raw!AQ33</f>
        <v>3897.3167079579689</v>
      </c>
      <c r="AR5" s="18">
        <f>raw!AR33</f>
        <v>3787.6145088975177</v>
      </c>
      <c r="AS5" s="18">
        <f>raw!AS33</f>
        <v>3834.4210230375375</v>
      </c>
      <c r="AT5" s="18">
        <f>raw!AT33</f>
        <v>0</v>
      </c>
      <c r="AU5" s="18">
        <f>raw!AU33</f>
        <v>0</v>
      </c>
      <c r="AV5" s="18">
        <f>raw!AV33</f>
        <v>0</v>
      </c>
      <c r="AW5" s="18">
        <f>raw!AW33</f>
        <v>0</v>
      </c>
      <c r="AX5" s="18">
        <f>raw!AX33</f>
        <v>0</v>
      </c>
      <c r="AY5" s="18">
        <f>raw!AY33</f>
        <v>0</v>
      </c>
      <c r="AZ5" s="18">
        <f>raw!AZ33</f>
        <v>0</v>
      </c>
    </row>
    <row r="6" spans="1:52">
      <c r="A6" s="17" t="s">
        <v>4</v>
      </c>
      <c r="B6" s="20" t="s">
        <v>14</v>
      </c>
      <c r="C6" s="90">
        <f>raw!B34</f>
        <v>1421.5407528286526</v>
      </c>
      <c r="D6" s="18">
        <f>raw!C34</f>
        <v>1376.0586000116823</v>
      </c>
      <c r="E6" s="18">
        <f>raw!D34</f>
        <v>1491.9939769261409</v>
      </c>
      <c r="F6" s="18">
        <f>raw!E34</f>
        <v>1384.1967241857435</v>
      </c>
      <c r="G6" s="18">
        <f>raw!F34</f>
        <v>1480.0763077923666</v>
      </c>
      <c r="H6" s="18">
        <f>raw!G34</f>
        <v>1616.018786373751</v>
      </c>
      <c r="I6" s="18">
        <f>raw!H34</f>
        <v>1477.8705574498545</v>
      </c>
      <c r="J6" s="18">
        <f>raw!I34</f>
        <v>1470.0406251612394</v>
      </c>
      <c r="K6" s="18">
        <f>raw!J34</f>
        <v>1349.7683944701269</v>
      </c>
      <c r="L6" s="18">
        <f>raw!K34</f>
        <v>1345.4326381344545</v>
      </c>
      <c r="M6" s="18">
        <f>raw!L34</f>
        <v>1598.676530014546</v>
      </c>
      <c r="N6" s="91">
        <f>raw!M34</f>
        <v>1533.0298432011077</v>
      </c>
      <c r="O6" s="18">
        <f>raw!O34</f>
        <v>1658.16203305421</v>
      </c>
      <c r="P6" s="18">
        <f>raw!P34</f>
        <v>1356.9527457802958</v>
      </c>
      <c r="Q6" s="18">
        <f>raw!Q34</f>
        <v>1640.1840468399319</v>
      </c>
      <c r="R6" s="18">
        <f>raw!R34</f>
        <v>1588.2350839574949</v>
      </c>
      <c r="S6" s="18">
        <f>raw!S34</f>
        <v>1601.455290531934</v>
      </c>
      <c r="T6" s="18">
        <f>raw!T34</f>
        <v>1761.2851465780402</v>
      </c>
      <c r="U6" s="18">
        <f>raw!U34</f>
        <v>1691.2152622023302</v>
      </c>
      <c r="V6" s="18">
        <f>raw!V34</f>
        <v>1798.288207824002</v>
      </c>
      <c r="W6" s="18">
        <f>raw!W34</f>
        <v>1686.4044807017469</v>
      </c>
      <c r="X6" s="18">
        <f>raw!X34</f>
        <v>1704.8238500193811</v>
      </c>
      <c r="Y6" s="18">
        <f>raw!Y34</f>
        <v>2032.1162649505411</v>
      </c>
      <c r="Z6" s="18">
        <f>raw!Z34</f>
        <v>1731.3534577499208</v>
      </c>
      <c r="AB6" s="25">
        <f>raw!AB34</f>
        <v>1781.36365576</v>
      </c>
      <c r="AC6" s="25">
        <f>raw!AC34</f>
        <v>1668.8928625199999</v>
      </c>
      <c r="AD6" s="25">
        <f>raw!AD34</f>
        <v>1699.30144967</v>
      </c>
      <c r="AE6" s="25">
        <f>raw!AE34</f>
        <v>1630.7074920799998</v>
      </c>
      <c r="AF6" s="25">
        <f>raw!AF34</f>
        <v>1691.6897090499999</v>
      </c>
      <c r="AG6" s="25">
        <f>raw!AG34</f>
        <v>1846.0868567800001</v>
      </c>
      <c r="AH6" s="25">
        <f>raw!AH34</f>
        <v>1733.4937008099998</v>
      </c>
      <c r="AI6" s="25">
        <f>raw!AI34</f>
        <v>1725.4035397600003</v>
      </c>
      <c r="AJ6" s="25">
        <f>raw!AJ34</f>
        <v>1665.11679598</v>
      </c>
      <c r="AK6" s="18">
        <f>raw!AK34</f>
        <v>1607.5062628987503</v>
      </c>
      <c r="AL6" s="18">
        <f>raw!AL34</f>
        <v>2231.4726118074723</v>
      </c>
      <c r="AM6" s="18">
        <f>raw!AM34</f>
        <v>2169.0488130166996</v>
      </c>
      <c r="AO6" s="18">
        <f>raw!AO34</f>
        <v>2061.9758667050896</v>
      </c>
      <c r="AP6" s="18">
        <f>raw!AP34</f>
        <v>1776.3402778229774</v>
      </c>
      <c r="AQ6" s="18">
        <f>raw!AQ34</f>
        <v>2094.4303055530677</v>
      </c>
      <c r="AR6" s="18">
        <f>raw!AR34</f>
        <v>1989.4219952585415</v>
      </c>
      <c r="AS6" s="18">
        <f>raw!AS34</f>
        <v>2043.5706887158929</v>
      </c>
      <c r="AT6" s="18">
        <f>raw!AT34</f>
        <v>0</v>
      </c>
      <c r="AU6" s="18">
        <f>raw!AU34</f>
        <v>0</v>
      </c>
      <c r="AV6" s="18">
        <f>raw!AV34</f>
        <v>0</v>
      </c>
      <c r="AW6" s="18">
        <f>raw!AW34</f>
        <v>0</v>
      </c>
      <c r="AX6" s="18">
        <f>raw!AX34</f>
        <v>0</v>
      </c>
      <c r="AY6" s="18">
        <f>raw!AY34</f>
        <v>0</v>
      </c>
      <c r="AZ6" s="18">
        <f>raw!AZ34</f>
        <v>0</v>
      </c>
    </row>
    <row r="7" spans="1:52">
      <c r="A7" s="17" t="s">
        <v>7</v>
      </c>
      <c r="B7" s="129" t="s">
        <v>88</v>
      </c>
      <c r="C7" s="90">
        <f>raw!B37</f>
        <v>844.98642313664664</v>
      </c>
      <c r="D7" s="18">
        <f>raw!C37</f>
        <v>925.57407000003218</v>
      </c>
      <c r="E7" s="18">
        <f>raw!D37</f>
        <v>944.15380600005449</v>
      </c>
      <c r="F7" s="18">
        <f>raw!E37</f>
        <v>954.92490100003852</v>
      </c>
      <c r="G7" s="18">
        <f>raw!F37</f>
        <v>971.74050399997782</v>
      </c>
      <c r="H7" s="18">
        <f>raw!G37</f>
        <v>1108.6137489999633</v>
      </c>
      <c r="I7" s="18">
        <f>raw!H37</f>
        <v>1010.5130710001699</v>
      </c>
      <c r="J7" s="18">
        <f>raw!I37</f>
        <v>1049.6967429994347</v>
      </c>
      <c r="K7" s="18">
        <f>raw!J37</f>
        <v>877.99823800027275</v>
      </c>
      <c r="L7" s="18">
        <f>raw!K37</f>
        <v>865.73591499999725</v>
      </c>
      <c r="M7" s="18">
        <f>raw!L37</f>
        <v>949.67679400053601</v>
      </c>
      <c r="N7" s="91">
        <f>raw!M37</f>
        <v>1770.4948200002432</v>
      </c>
      <c r="O7" s="18">
        <f>raw!O37</f>
        <v>1055.3977090000496</v>
      </c>
      <c r="P7" s="18">
        <f>raw!P37</f>
        <v>882.42083199999036</v>
      </c>
      <c r="Q7" s="18">
        <f>raw!Q37</f>
        <v>1030.1014340028462</v>
      </c>
      <c r="R7" s="18">
        <f>raw!R37</f>
        <v>1066.9450189969209</v>
      </c>
      <c r="S7" s="18">
        <f>raw!S37</f>
        <v>1031.297651999975</v>
      </c>
      <c r="T7" s="18">
        <f>raw!T37</f>
        <v>1134.358932000355</v>
      </c>
      <c r="U7" s="18">
        <f>raw!U37</f>
        <v>1836.7955140000879</v>
      </c>
      <c r="V7" s="18">
        <f>raw!V37</f>
        <v>1153.2636659996854</v>
      </c>
      <c r="W7" s="18">
        <f>raw!W37</f>
        <v>1174.3657500001436</v>
      </c>
      <c r="X7" s="18">
        <f>raw!X37</f>
        <v>1176.7139150000462</v>
      </c>
      <c r="Y7" s="18">
        <f>raw!Y37</f>
        <v>1325.7904499998908</v>
      </c>
      <c r="Z7" s="18">
        <f>raw!Z37</f>
        <v>949.26533899995206</v>
      </c>
      <c r="AB7" s="25">
        <f>raw!AB37</f>
        <v>1162.2661580002289</v>
      </c>
      <c r="AC7" s="25">
        <f>raw!AC37</f>
        <v>1254.865457999329</v>
      </c>
      <c r="AD7" s="25">
        <f>raw!AD37</f>
        <v>1238.066867000663</v>
      </c>
      <c r="AE7" s="25">
        <f>raw!AE37</f>
        <v>1043.431722999557</v>
      </c>
      <c r="AF7" s="25">
        <f>raw!AF37</f>
        <v>1004.8259840001909</v>
      </c>
      <c r="AG7" s="25">
        <f>raw!AG37</f>
        <v>1240.9328649996</v>
      </c>
      <c r="AH7" s="25">
        <f>raw!AH37</f>
        <v>1203.2302750005272</v>
      </c>
      <c r="AI7" s="25">
        <f>raw!AI37</f>
        <v>1262.8929869994395</v>
      </c>
      <c r="AJ7" s="25">
        <f>raw!AJ37</f>
        <v>1144.5772630005497</v>
      </c>
      <c r="AK7" s="18">
        <f>raw!AK37</f>
        <v>1137.3202419994745</v>
      </c>
      <c r="AL7" s="18">
        <f>raw!AL37</f>
        <v>1422.7779910009551</v>
      </c>
      <c r="AM7" s="18">
        <f>raw!AM37</f>
        <v>1322.2062500008969</v>
      </c>
      <c r="AO7" s="18">
        <f>raw!AO37</f>
        <v>1406.2327070002282</v>
      </c>
      <c r="AP7" s="18">
        <f>raw!AP37</f>
        <v>1240.8602099996615</v>
      </c>
      <c r="AQ7" s="18">
        <f>raw!AQ37</f>
        <v>1499.2274300000358</v>
      </c>
      <c r="AR7" s="18">
        <f>raw!AR37</f>
        <v>1425.7521230004693</v>
      </c>
      <c r="AS7" s="18">
        <f>raw!AS37</f>
        <v>1516.3125629991519</v>
      </c>
      <c r="AT7" s="18">
        <f>raw!AT37</f>
        <v>0</v>
      </c>
      <c r="AU7" s="18">
        <f>raw!AU37</f>
        <v>0</v>
      </c>
      <c r="AV7" s="18">
        <f>raw!AV37</f>
        <v>0</v>
      </c>
      <c r="AW7" s="18">
        <f>raw!AW37</f>
        <v>0</v>
      </c>
      <c r="AX7" s="18">
        <f>raw!AX37</f>
        <v>0</v>
      </c>
      <c r="AY7" s="18">
        <f>raw!AY37</f>
        <v>0</v>
      </c>
      <c r="AZ7" s="18">
        <f>raw!AZ37</f>
        <v>0</v>
      </c>
    </row>
    <row r="8" spans="1:52">
      <c r="A8" s="17" t="s">
        <v>8</v>
      </c>
      <c r="B8" s="24" t="s">
        <v>0</v>
      </c>
      <c r="C8" s="94">
        <f>raw!B38</f>
        <v>0</v>
      </c>
      <c r="D8" s="25">
        <f>raw!C38</f>
        <v>0</v>
      </c>
      <c r="E8" s="25">
        <f>raw!D38</f>
        <v>0</v>
      </c>
      <c r="F8" s="25">
        <f>raw!E38</f>
        <v>0</v>
      </c>
      <c r="G8" s="25">
        <f>raw!F38</f>
        <v>0</v>
      </c>
      <c r="H8" s="25">
        <f>raw!G38</f>
        <v>0</v>
      </c>
      <c r="I8" s="25">
        <f>raw!H38</f>
        <v>0</v>
      </c>
      <c r="J8" s="25">
        <f>raw!I38</f>
        <v>0</v>
      </c>
      <c r="K8" s="25">
        <f>raw!J38</f>
        <v>0</v>
      </c>
      <c r="L8" s="25">
        <f>raw!K38</f>
        <v>0</v>
      </c>
      <c r="M8" s="25">
        <f>raw!L38</f>
        <v>0</v>
      </c>
      <c r="N8" s="95">
        <f>raw!M38</f>
        <v>0</v>
      </c>
      <c r="O8" s="25">
        <v>0.35</v>
      </c>
      <c r="P8" s="25">
        <v>0.28999999999999998</v>
      </c>
      <c r="Q8" s="25">
        <v>0.34</v>
      </c>
      <c r="R8" s="25">
        <v>0.35</v>
      </c>
      <c r="S8" s="25">
        <v>0.35</v>
      </c>
      <c r="T8" s="25">
        <f>raw!T38</f>
        <v>0.37</v>
      </c>
      <c r="U8" s="25">
        <v>0.61</v>
      </c>
      <c r="V8" s="25">
        <f>raw!V38</f>
        <v>0.38</v>
      </c>
      <c r="W8" s="25">
        <v>0.39</v>
      </c>
      <c r="X8" s="25">
        <v>0.39</v>
      </c>
      <c r="Y8" s="25">
        <v>0.43</v>
      </c>
      <c r="Z8" s="25">
        <v>0.32</v>
      </c>
      <c r="AB8" s="25">
        <f>raw!AB38</f>
        <v>0.38</v>
      </c>
      <c r="AC8" s="25">
        <v>0.42</v>
      </c>
      <c r="AD8" s="25">
        <v>0.41</v>
      </c>
      <c r="AE8" s="25">
        <v>0.34</v>
      </c>
      <c r="AF8" s="25">
        <v>0.34</v>
      </c>
      <c r="AG8" s="25">
        <f>raw!AG38</f>
        <v>0.41</v>
      </c>
      <c r="AH8" s="25">
        <f>raw!AH38</f>
        <v>0.39</v>
      </c>
      <c r="AI8" s="25">
        <f>raw!AI38</f>
        <v>0.42</v>
      </c>
      <c r="AJ8" s="25">
        <f>raw!AJ38</f>
        <v>0.38</v>
      </c>
      <c r="AK8" s="25">
        <f>raw!AK38</f>
        <v>0.38</v>
      </c>
      <c r="AL8" s="25">
        <f>raw!AL38</f>
        <v>0.47</v>
      </c>
      <c r="AM8" s="25">
        <f>raw!AM38</f>
        <v>0.43</v>
      </c>
      <c r="AO8" s="25">
        <f>raw!AO38</f>
        <v>0.46</v>
      </c>
      <c r="AP8" s="25">
        <f>raw!AP38</f>
        <v>0.42</v>
      </c>
      <c r="AQ8" s="25">
        <f>raw!AQ38</f>
        <v>0.49</v>
      </c>
      <c r="AR8" s="25">
        <f>raw!AR38</f>
        <v>0.47</v>
      </c>
      <c r="AS8" s="25">
        <f>raw!AS38</f>
        <v>0.5</v>
      </c>
      <c r="AT8" s="25">
        <f>raw!AT38</f>
        <v>0</v>
      </c>
      <c r="AU8" s="25">
        <f>raw!AU38</f>
        <v>0</v>
      </c>
      <c r="AV8" s="25">
        <f>raw!AV38</f>
        <v>0</v>
      </c>
      <c r="AW8" s="25">
        <f>raw!AW38</f>
        <v>0</v>
      </c>
      <c r="AX8" s="25">
        <f>raw!AX38</f>
        <v>0</v>
      </c>
      <c r="AY8" s="25">
        <f>raw!AY38</f>
        <v>0</v>
      </c>
      <c r="AZ8" s="25">
        <f>raw!AZ38</f>
        <v>0</v>
      </c>
    </row>
    <row r="9" spans="1:52">
      <c r="A9" s="17" t="s">
        <v>5</v>
      </c>
      <c r="B9" s="20" t="s">
        <v>15</v>
      </c>
      <c r="C9" s="90">
        <f>raw!B35</f>
        <v>1299.9049425547585</v>
      </c>
      <c r="D9" s="18">
        <f>raw!C35</f>
        <v>1339.4022509656781</v>
      </c>
      <c r="E9" s="18">
        <f>raw!D35</f>
        <v>1421.3759954576276</v>
      </c>
      <c r="F9" s="18">
        <f>raw!E35</f>
        <v>1340.0057987758514</v>
      </c>
      <c r="G9" s="18">
        <f>raw!F35</f>
        <v>1399.1265754883877</v>
      </c>
      <c r="H9" s="18">
        <f>raw!G35</f>
        <v>1605.5318548507064</v>
      </c>
      <c r="I9" s="18">
        <f>raw!H35</f>
        <v>1438.1464860082228</v>
      </c>
      <c r="J9" s="18">
        <f>raw!I35</f>
        <v>1408.7778327815297</v>
      </c>
      <c r="K9" s="18">
        <f>raw!J35</f>
        <v>1286.1521887809859</v>
      </c>
      <c r="L9" s="18">
        <f>raw!K35</f>
        <v>1262.3764565896131</v>
      </c>
      <c r="M9" s="18">
        <f>raw!L35</f>
        <v>1493.3648144051799</v>
      </c>
      <c r="N9" s="91">
        <f>raw!M35</f>
        <v>2177.1992888846762</v>
      </c>
      <c r="O9" s="18">
        <f>raw!O35</f>
        <v>1566.2901067233699</v>
      </c>
      <c r="P9" s="18">
        <f>raw!P35</f>
        <v>1259.4209372976484</v>
      </c>
      <c r="Q9" s="18">
        <f>raw!Q35</f>
        <v>1496.0922502976041</v>
      </c>
      <c r="R9" s="18">
        <f>raw!R35</f>
        <v>1490.0255213875189</v>
      </c>
      <c r="S9" s="18">
        <f>raw!S35</f>
        <v>1449.342648082752</v>
      </c>
      <c r="T9" s="18">
        <f>raw!T35</f>
        <v>1619.379672085287</v>
      </c>
      <c r="U9" s="18">
        <f>raw!U35</f>
        <v>2472.4765682375887</v>
      </c>
      <c r="V9" s="18">
        <f>raw!V35</f>
        <v>1599.7770772182841</v>
      </c>
      <c r="W9" s="18">
        <f>raw!W35</f>
        <v>1607.6303730820005</v>
      </c>
      <c r="X9" s="18">
        <f>raw!X35</f>
        <v>1637.6719434676802</v>
      </c>
      <c r="Y9" s="18">
        <f>raw!Y35</f>
        <v>1984.688277855264</v>
      </c>
      <c r="Z9" s="18">
        <f>raw!Z35</f>
        <v>1349.244904872264</v>
      </c>
      <c r="AB9" s="25">
        <f>raw!AB35</f>
        <v>1640.55296686936</v>
      </c>
      <c r="AC9" s="25">
        <f>raw!AC35</f>
        <v>1560.4297448399911</v>
      </c>
      <c r="AD9" s="25">
        <f>raw!AD35</f>
        <v>1709.826235036586</v>
      </c>
      <c r="AE9" s="25">
        <f>raw!AE35</f>
        <v>1445.6730571882629</v>
      </c>
      <c r="AF9" s="25">
        <f>raw!AF35</f>
        <v>1413.185479348635</v>
      </c>
      <c r="AG9" s="25">
        <f>raw!AG35</f>
        <v>1694.840251879057</v>
      </c>
      <c r="AH9" s="25">
        <f>raw!AH35</f>
        <v>1643.4935641498309</v>
      </c>
      <c r="AI9" s="25">
        <f>raw!AI35</f>
        <v>1689.5503364088274</v>
      </c>
      <c r="AJ9" s="25">
        <f>raw!AJ35</f>
        <v>1559.8871181174468</v>
      </c>
      <c r="AK9" s="18">
        <f>raw!AK35</f>
        <v>1525.1875373453383</v>
      </c>
      <c r="AL9" s="18">
        <f>raw!AL35</f>
        <v>2114.7972052509549</v>
      </c>
      <c r="AM9" s="18">
        <f>raw!AM35</f>
        <v>1945.4287826169489</v>
      </c>
      <c r="AO9" s="18">
        <f>raw!AO35</f>
        <v>1964.9514656024783</v>
      </c>
      <c r="AP9" s="18">
        <f>raw!AP35</f>
        <v>1664.0096952213335</v>
      </c>
      <c r="AQ9" s="18">
        <f>raw!AQ35</f>
        <v>2039.9491334972147</v>
      </c>
      <c r="AR9" s="18">
        <f>raw!AR35</f>
        <v>1917.3062418036873</v>
      </c>
      <c r="AS9" s="18">
        <f>raw!AS35</f>
        <v>1968.8559747866409</v>
      </c>
      <c r="AT9" s="18">
        <f>raw!AT35</f>
        <v>0</v>
      </c>
      <c r="AU9" s="18">
        <f>raw!AU35</f>
        <v>0</v>
      </c>
      <c r="AV9" s="18">
        <f>raw!AV35</f>
        <v>0</v>
      </c>
      <c r="AW9" s="18">
        <f>raw!AW35</f>
        <v>0</v>
      </c>
      <c r="AX9" s="18">
        <f>raw!AX35</f>
        <v>0</v>
      </c>
      <c r="AY9" s="18">
        <f>raw!AY35</f>
        <v>0</v>
      </c>
      <c r="AZ9" s="18">
        <f>raw!AZ35</f>
        <v>0</v>
      </c>
    </row>
    <row r="10" spans="1:52">
      <c r="A10" s="17" t="s">
        <v>6</v>
      </c>
      <c r="B10" s="20" t="s">
        <v>16</v>
      </c>
      <c r="C10" s="92">
        <f>raw!B36</f>
        <v>8.7742609360527316E-2</v>
      </c>
      <c r="D10" s="22">
        <f>raw!C36</f>
        <v>9.7514027107519399E-2</v>
      </c>
      <c r="E10" s="22">
        <f>raw!D36</f>
        <v>9.8263960074035678E-2</v>
      </c>
      <c r="F10" s="22">
        <f>raw!E36</f>
        <v>9.7911288817690567E-2</v>
      </c>
      <c r="G10" s="22">
        <f>raw!F36</f>
        <v>9.4683740502118946E-2</v>
      </c>
      <c r="H10" s="22">
        <f>raw!G36</f>
        <v>0.10644249676044892</v>
      </c>
      <c r="I10" s="22">
        <f>raw!H36</f>
        <v>0.10074748206180857</v>
      </c>
      <c r="J10" s="22">
        <f>raw!I36</f>
        <v>9.6745269342339762E-2</v>
      </c>
      <c r="K10" s="22">
        <f>raw!J36</f>
        <v>8.9623799952129615E-2</v>
      </c>
      <c r="L10" s="22">
        <f>raw!K36</f>
        <v>8.5194725352006062E-2</v>
      </c>
      <c r="M10" s="22">
        <f>raw!L36</f>
        <v>6.8816478596564104E-2</v>
      </c>
      <c r="N10" s="93">
        <f>raw!M36</f>
        <v>0.12746406636859631</v>
      </c>
      <c r="O10" s="22">
        <f>raw!O36</f>
        <v>9.2359746938962553E-2</v>
      </c>
      <c r="P10" s="22">
        <f>raw!P36</f>
        <v>8.259625662994477E-2</v>
      </c>
      <c r="Q10" s="22">
        <f>raw!Q36</f>
        <v>9.3097682611557153E-2</v>
      </c>
      <c r="R10" s="22">
        <f>raw!R36</f>
        <v>9.9052546234660033E-2</v>
      </c>
      <c r="S10" s="22">
        <f>raw!S36</f>
        <v>9.0403407462208818E-2</v>
      </c>
      <c r="T10" s="22">
        <f>raw!T36</f>
        <v>9.7148189442305535E-2</v>
      </c>
      <c r="U10" s="22">
        <f>raw!U36</f>
        <v>0.15981743327422401</v>
      </c>
      <c r="V10" s="22">
        <f>raw!V36</f>
        <v>0.10113770765608056</v>
      </c>
      <c r="W10" s="22">
        <f>raw!W36</f>
        <v>0.1010257482370675</v>
      </c>
      <c r="X10" s="22">
        <f>raw!X36</f>
        <v>0.10280445127822206</v>
      </c>
      <c r="Y10" s="22">
        <f>raw!Y36</f>
        <v>8.6046278047258035E-2</v>
      </c>
      <c r="Z10" s="22">
        <f>raw!Z36</f>
        <v>7.8643223786810074E-2</v>
      </c>
      <c r="AB10" s="22">
        <f>raw!AB36</f>
        <v>9.9657473080605671E-2</v>
      </c>
      <c r="AC10" s="22">
        <f>raw!AC36</f>
        <v>0.10049094938468217</v>
      </c>
      <c r="AD10" s="22">
        <f>raw!AD36</f>
        <v>0.10569244430370199</v>
      </c>
      <c r="AE10" s="22">
        <f>raw!AE36</f>
        <v>9.3915694208405051E-2</v>
      </c>
      <c r="AF10" s="22">
        <f>raw!AF36</f>
        <v>8.931192855217987E-2</v>
      </c>
      <c r="AG10" s="22">
        <f>raw!AG36</f>
        <v>0.10426785571365435</v>
      </c>
      <c r="AH10" s="22">
        <f>raw!AH36</f>
        <v>0.10889321679680768</v>
      </c>
      <c r="AI10" s="22">
        <f>raw!AI36</f>
        <v>0.10922777701659837</v>
      </c>
      <c r="AJ10" s="22">
        <f>raw!AJ36</f>
        <v>9.8858676979627247E-2</v>
      </c>
      <c r="AK10" s="22">
        <f>raw!AK36</f>
        <v>9.7612234435680165E-2</v>
      </c>
      <c r="AL10" s="22">
        <f>raw!AL36</f>
        <v>9.1501615314737272E-2</v>
      </c>
      <c r="AM10" s="22">
        <f>raw!AM36</f>
        <v>0.10778407041269576</v>
      </c>
      <c r="AO10" s="22">
        <f>raw!AO36</f>
        <v>0.11460477917967524</v>
      </c>
      <c r="AP10" s="22">
        <f>raw!AP36</f>
        <v>0.10719257084279898</v>
      </c>
      <c r="AQ10" s="22">
        <f>raw!AQ36</f>
        <v>0.11923049504203174</v>
      </c>
      <c r="AR10" s="22">
        <f>raw!AR36</f>
        <v>0.12236064622985438</v>
      </c>
      <c r="AS10" s="22">
        <f>raw!AS36</f>
        <v>0.11975512184926632</v>
      </c>
      <c r="AT10" s="22">
        <f>raw!AT36</f>
        <v>0</v>
      </c>
      <c r="AU10" s="22">
        <f>raw!AU36</f>
        <v>0</v>
      </c>
      <c r="AV10" s="22">
        <f>raw!AV36</f>
        <v>0</v>
      </c>
      <c r="AW10" s="22">
        <f>raw!AW36</f>
        <v>0</v>
      </c>
      <c r="AX10" s="22">
        <f>raw!AX36</f>
        <v>0</v>
      </c>
      <c r="AY10" s="22">
        <f>raw!AY36</f>
        <v>0</v>
      </c>
      <c r="AZ10" s="22">
        <f>raw!AZ36</f>
        <v>0</v>
      </c>
    </row>
    <row r="11" spans="1:52">
      <c r="A11" s="17" t="s">
        <v>9</v>
      </c>
      <c r="B11" s="24" t="s">
        <v>1</v>
      </c>
      <c r="C11" s="90">
        <f>raw!B39</f>
        <v>2820.4820020000002</v>
      </c>
      <c r="D11" s="18">
        <f>raw!C39</f>
        <v>2820.4820020000002</v>
      </c>
      <c r="E11" s="18">
        <f>raw!D39</f>
        <v>2820.4820020000002</v>
      </c>
      <c r="F11" s="18">
        <f>raw!E39</f>
        <v>2820.4820020000002</v>
      </c>
      <c r="G11" s="18">
        <f>raw!F39</f>
        <v>2820.4820020000002</v>
      </c>
      <c r="H11" s="18">
        <f>raw!G39</f>
        <v>2820.4820020000002</v>
      </c>
      <c r="I11" s="18">
        <f>raw!H39</f>
        <v>2820.4820020000002</v>
      </c>
      <c r="J11" s="18">
        <f>raw!I39</f>
        <v>2820.4820020000002</v>
      </c>
      <c r="K11" s="18">
        <f>raw!J39</f>
        <v>2820.4820020000002</v>
      </c>
      <c r="L11" s="18">
        <f>raw!K39</f>
        <v>2820.4820020000002</v>
      </c>
      <c r="M11" s="18">
        <f>raw!L39</f>
        <v>2820.4820020000002</v>
      </c>
      <c r="N11" s="91">
        <f>raw!M39</f>
        <v>2837.8104250000001</v>
      </c>
      <c r="O11" s="18">
        <f>raw!O39</f>
        <v>3024.5102099999999</v>
      </c>
      <c r="P11" s="18">
        <f>raw!P39</f>
        <v>3024.5102099999999</v>
      </c>
      <c r="Q11" s="18">
        <f>raw!Q39</f>
        <v>3024.5102099999999</v>
      </c>
      <c r="R11" s="18">
        <f>raw!R39</f>
        <v>3024.5102099999999</v>
      </c>
      <c r="S11" s="18">
        <f>raw!S39</f>
        <v>3024.5102099999999</v>
      </c>
      <c r="T11" s="18">
        <f>raw!T39</f>
        <v>3024.5102099999999</v>
      </c>
      <c r="U11" s="18">
        <f>raw!U39</f>
        <v>3024.5102099999999</v>
      </c>
      <c r="V11" s="18">
        <f>raw!V39</f>
        <v>3024.5102099999999</v>
      </c>
      <c r="W11" s="18">
        <f>raw!W39</f>
        <v>3024.5102099999999</v>
      </c>
      <c r="X11" s="18">
        <f>raw!X39</f>
        <v>3024.5102099999999</v>
      </c>
      <c r="Y11" s="18">
        <f>raw!Y39</f>
        <v>3024.5102099999999</v>
      </c>
      <c r="Z11" s="25">
        <f>raw!Z41</f>
        <v>0</v>
      </c>
      <c r="AB11" s="25">
        <f>raw!AB39</f>
        <v>3024.5102099999999</v>
      </c>
      <c r="AC11" s="25">
        <f>raw!AC39</f>
        <v>3024.5102099999999</v>
      </c>
      <c r="AD11" s="25">
        <f>raw!AD39</f>
        <v>3024.5102099999999</v>
      </c>
      <c r="AE11" s="25">
        <f>raw!AE39</f>
        <v>3024.5102099999999</v>
      </c>
      <c r="AF11" s="25">
        <f>raw!AF39</f>
        <v>3024.5102099999999</v>
      </c>
      <c r="AG11" s="25">
        <f>raw!AG39</f>
        <v>3024.5102099999999</v>
      </c>
      <c r="AH11" s="25">
        <f>raw!AH39</f>
        <v>3024.5102099999999</v>
      </c>
      <c r="AI11" s="25">
        <f>raw!AI39</f>
        <v>3024.5102099999999</v>
      </c>
      <c r="AJ11" s="25">
        <f>raw!AJ39</f>
        <v>3024.5102099999999</v>
      </c>
      <c r="AK11" s="18">
        <f>raw!AK39</f>
        <v>3024.5102099999999</v>
      </c>
      <c r="AL11" s="18">
        <f>raw!AL39</f>
        <v>3024.5102099999999</v>
      </c>
      <c r="AM11" s="25">
        <f>raw!AM41</f>
        <v>0</v>
      </c>
      <c r="AO11" s="25">
        <f>raw!AO41</f>
        <v>0</v>
      </c>
      <c r="AP11" s="25">
        <f>raw!AP41</f>
        <v>0</v>
      </c>
      <c r="AQ11" s="25">
        <f>raw!AQ41</f>
        <v>0</v>
      </c>
      <c r="AR11" s="25">
        <f>raw!AR41</f>
        <v>0</v>
      </c>
      <c r="AS11" s="25">
        <f>raw!AS41</f>
        <v>0</v>
      </c>
      <c r="AT11" s="25">
        <f>raw!AT41</f>
        <v>0</v>
      </c>
      <c r="AU11" s="25">
        <f>raw!AU41</f>
        <v>0</v>
      </c>
      <c r="AV11" s="25">
        <f>raw!AV41</f>
        <v>0</v>
      </c>
      <c r="AW11" s="25">
        <f>raw!AW41</f>
        <v>0</v>
      </c>
      <c r="AX11" s="25">
        <f>raw!AX41</f>
        <v>0</v>
      </c>
      <c r="AY11" s="25">
        <f>raw!AY41</f>
        <v>0</v>
      </c>
      <c r="AZ11" s="25">
        <f>raw!AZ41</f>
        <v>0</v>
      </c>
    </row>
    <row r="12" spans="1:52">
      <c r="A12" s="17" t="s">
        <v>10</v>
      </c>
      <c r="B12" s="20" t="s">
        <v>17</v>
      </c>
      <c r="C12" s="90">
        <f>raw!B40</f>
        <v>2820.4820020000002</v>
      </c>
      <c r="D12" s="18">
        <f>raw!C40</f>
        <v>2820.4820020000002</v>
      </c>
      <c r="E12" s="18">
        <f>raw!D40</f>
        <v>2820.4820020000002</v>
      </c>
      <c r="F12" s="18">
        <f>raw!E40</f>
        <v>2820.4820020000002</v>
      </c>
      <c r="G12" s="18">
        <f>raw!F40</f>
        <v>2820.4820020000002</v>
      </c>
      <c r="H12" s="18">
        <f>raw!G40</f>
        <v>2820.4820020000002</v>
      </c>
      <c r="I12" s="18">
        <f>raw!H40</f>
        <v>2820.4820020000002</v>
      </c>
      <c r="J12" s="18">
        <f>raw!I40</f>
        <v>2820.4820020000002</v>
      </c>
      <c r="K12" s="18">
        <f>raw!J40</f>
        <v>2820.4820020000002</v>
      </c>
      <c r="L12" s="18">
        <f>raw!K40</f>
        <v>2820.4820020000002</v>
      </c>
      <c r="M12" s="18">
        <f>raw!L40</f>
        <v>2820.4820020000002</v>
      </c>
      <c r="N12" s="91">
        <f>raw!M40</f>
        <v>3024.5102099999999</v>
      </c>
      <c r="O12" s="18">
        <f>raw!O40</f>
        <v>3024.5102099999999</v>
      </c>
      <c r="P12" s="18">
        <f>raw!P40</f>
        <v>3024.5102099999999</v>
      </c>
      <c r="Q12" s="18">
        <f>raw!Q40</f>
        <v>3024.5102099999999</v>
      </c>
      <c r="R12" s="18">
        <f>raw!R40</f>
        <v>3024.5102099999999</v>
      </c>
      <c r="S12" s="18">
        <f>raw!S40</f>
        <v>3024.5102099999999</v>
      </c>
      <c r="T12" s="18">
        <f>raw!T40</f>
        <v>3024.5102099999999</v>
      </c>
      <c r="U12" s="18">
        <f>raw!U40</f>
        <v>3024.5102099999999</v>
      </c>
      <c r="V12" s="18">
        <f>raw!V40</f>
        <v>3024.5102099999999</v>
      </c>
      <c r="W12" s="18">
        <f>raw!W40</f>
        <v>3024.5102099999999</v>
      </c>
      <c r="X12" s="18">
        <f>raw!X40</f>
        <v>3024.5102099999999</v>
      </c>
      <c r="Y12" s="18">
        <f>raw!Y40</f>
        <v>3024.5102099999999</v>
      </c>
      <c r="Z12" s="18">
        <f>raw!Z40</f>
        <v>3024.5102099999999</v>
      </c>
      <c r="AB12" s="25">
        <f>raw!AB40</f>
        <v>3024.5102099999999</v>
      </c>
      <c r="AC12" s="25">
        <f>raw!AC40</f>
        <v>3024.5102099999999</v>
      </c>
      <c r="AD12" s="25">
        <f>raw!AD40</f>
        <v>3024.5102099999999</v>
      </c>
      <c r="AE12" s="25">
        <f>raw!AE40</f>
        <v>3024.5102099999999</v>
      </c>
      <c r="AF12" s="25">
        <f>raw!AF40</f>
        <v>3024.5102099999999</v>
      </c>
      <c r="AG12" s="25">
        <f>raw!AG40</f>
        <v>3024.5102099999999</v>
      </c>
      <c r="AH12" s="25">
        <f>raw!AH40</f>
        <v>3024.5102099999999</v>
      </c>
      <c r="AI12" s="25">
        <f>raw!AI40</f>
        <v>3024.5102099999999</v>
      </c>
      <c r="AJ12" s="25">
        <f>raw!AJ40</f>
        <v>3024.5102099999999</v>
      </c>
      <c r="AK12" s="18">
        <f>raw!AK40</f>
        <v>3024.5102099999999</v>
      </c>
      <c r="AL12" s="18">
        <f>raw!AL40</f>
        <v>3024.5102099999999</v>
      </c>
      <c r="AM12" s="18">
        <f>raw!AM40</f>
        <v>3024.5102099999999</v>
      </c>
      <c r="AO12" s="18">
        <f>raw!AO40</f>
        <v>3024.5102099999999</v>
      </c>
      <c r="AP12" s="18">
        <f>raw!AP40</f>
        <v>3024.5102099999999</v>
      </c>
      <c r="AQ12" s="18">
        <f>raw!AQ40</f>
        <v>3030.66221</v>
      </c>
      <c r="AR12" s="18">
        <f>raw!AR40</f>
        <v>3037.4962099999998</v>
      </c>
      <c r="AS12" s="18">
        <f>raw!AS40</f>
        <v>3046.12221</v>
      </c>
      <c r="AT12" s="18">
        <f>raw!AT40</f>
        <v>0</v>
      </c>
      <c r="AU12" s="18">
        <f>raw!AU40</f>
        <v>0</v>
      </c>
      <c r="AV12" s="18">
        <f>raw!AV40</f>
        <v>0</v>
      </c>
      <c r="AW12" s="18">
        <f>raw!AW40</f>
        <v>0</v>
      </c>
      <c r="AX12" s="18">
        <f>raw!AX40</f>
        <v>0</v>
      </c>
      <c r="AY12" s="18">
        <f>raw!AY40</f>
        <v>0</v>
      </c>
      <c r="AZ12" s="18">
        <f>raw!AZ40</f>
        <v>0</v>
      </c>
    </row>
    <row r="15" spans="1:52">
      <c r="L15" s="15" t="s">
        <v>2</v>
      </c>
      <c r="M15" s="124">
        <v>183347.82458760729</v>
      </c>
      <c r="N15" s="124">
        <f>SUM(C4:N4)</f>
        <v>183347.82458760729</v>
      </c>
      <c r="O15" s="15"/>
      <c r="P15" s="15"/>
      <c r="Q15" s="15"/>
      <c r="R15" s="15"/>
      <c r="S15" s="15"/>
      <c r="T15" s="15"/>
      <c r="U15" s="15"/>
      <c r="V15" s="15"/>
      <c r="W15" s="15"/>
      <c r="X15" s="15" t="s">
        <v>2</v>
      </c>
      <c r="Y15" s="124">
        <v>127308.96858900001</v>
      </c>
      <c r="Z15" s="124">
        <f>SUM(O4:Z4)</f>
        <v>199373.905172</v>
      </c>
    </row>
    <row r="16" spans="1:52">
      <c r="L16" s="15" t="s">
        <v>3</v>
      </c>
      <c r="M16" s="124">
        <v>35788.728991777978</v>
      </c>
      <c r="N16" s="124">
        <f>SUM(C5:N5)</f>
        <v>35788.728991777978</v>
      </c>
      <c r="O16" s="15"/>
      <c r="P16" s="15"/>
      <c r="Q16" s="15"/>
      <c r="R16" s="15"/>
      <c r="S16" s="15"/>
      <c r="T16" s="15"/>
      <c r="U16" s="15"/>
      <c r="V16" s="15"/>
      <c r="W16" s="15"/>
      <c r="X16" s="15" t="s">
        <v>3</v>
      </c>
      <c r="Y16" s="124">
        <v>28249.568662768237</v>
      </c>
      <c r="Z16" s="124">
        <f>SUM(O5:Z5)</f>
        <v>42520.089402189828</v>
      </c>
    </row>
    <row r="17" spans="12:26">
      <c r="L17" s="15" t="s">
        <v>4</v>
      </c>
      <c r="M17" s="124">
        <v>17544.703736549665</v>
      </c>
      <c r="N17" s="124">
        <f>SUM(C6:N6)</f>
        <v>17544.703736549665</v>
      </c>
      <c r="O17" s="15"/>
      <c r="P17" s="15"/>
      <c r="Q17" s="15"/>
      <c r="R17" s="15"/>
      <c r="S17" s="15"/>
      <c r="T17" s="15"/>
      <c r="U17" s="15"/>
      <c r="V17" s="15"/>
      <c r="W17" s="15"/>
      <c r="X17" s="15" t="s">
        <v>4</v>
      </c>
      <c r="Y17" s="124">
        <v>13095.777816768237</v>
      </c>
      <c r="Z17" s="124">
        <f>SUM(O6:Z6)</f>
        <v>20250.475870189828</v>
      </c>
    </row>
    <row r="18" spans="12:26">
      <c r="L18" s="15" t="s">
        <v>5</v>
      </c>
      <c r="M18" s="124">
        <v>17471.364485543218</v>
      </c>
      <c r="N18" s="124">
        <f>SUM(C9:N9)</f>
        <v>17471.364485543218</v>
      </c>
      <c r="O18" s="15"/>
      <c r="P18" s="15"/>
      <c r="Q18" s="15"/>
      <c r="R18" s="15"/>
      <c r="S18" s="15"/>
      <c r="T18" s="15"/>
      <c r="U18" s="15"/>
      <c r="V18" s="15"/>
      <c r="W18" s="15"/>
      <c r="X18" s="15" t="s">
        <v>5</v>
      </c>
      <c r="Y18" s="124">
        <v>12952.804781330055</v>
      </c>
      <c r="Z18" s="124">
        <f>SUM(O9:Z9)</f>
        <v>19532.04028060726</v>
      </c>
    </row>
    <row r="19" spans="12:26">
      <c r="L19" s="15" t="s">
        <v>6</v>
      </c>
      <c r="M19" s="125">
        <v>9.5290819647522174E-2</v>
      </c>
      <c r="N19" s="125">
        <f>SUM(C10:N10)/12</f>
        <v>9.5929162024648781E-2</v>
      </c>
      <c r="O19" s="15"/>
      <c r="P19" s="15"/>
      <c r="Q19" s="15"/>
      <c r="R19" s="15"/>
      <c r="S19" s="15"/>
      <c r="T19" s="15"/>
      <c r="U19" s="15"/>
      <c r="V19" s="15"/>
      <c r="W19" s="15"/>
      <c r="X19" s="15" t="s">
        <v>6</v>
      </c>
      <c r="Y19" s="125">
        <v>0.10174306590407195</v>
      </c>
      <c r="Z19" s="125">
        <f>SUM(O10:Z10)/12</f>
        <v>9.8677722633275081E-2</v>
      </c>
    </row>
    <row r="20" spans="12:26">
      <c r="L20" s="15" t="s">
        <v>7</v>
      </c>
      <c r="M20" s="124">
        <v>12274.109034137367</v>
      </c>
      <c r="N20" s="124">
        <f>SUM(C7:N7)</f>
        <v>12274.109034137367</v>
      </c>
      <c r="O20" s="15"/>
      <c r="P20" s="15"/>
      <c r="Q20" s="15"/>
      <c r="R20" s="15"/>
      <c r="S20" s="15"/>
      <c r="T20" s="15"/>
      <c r="U20" s="15"/>
      <c r="V20" s="15"/>
      <c r="W20" s="15"/>
      <c r="X20" s="15" t="s">
        <v>7</v>
      </c>
      <c r="Y20" s="124">
        <v>9190.5807579999109</v>
      </c>
      <c r="Z20" s="124">
        <f>SUM(O7:Z7)</f>
        <v>13816.716211999945</v>
      </c>
    </row>
    <row r="21" spans="12:26">
      <c r="L21" s="15" t="s">
        <v>8</v>
      </c>
      <c r="M21" s="126">
        <v>4.33</v>
      </c>
      <c r="N21" s="126"/>
      <c r="O21" s="15"/>
      <c r="P21" s="15"/>
      <c r="Q21" s="15"/>
      <c r="R21" s="15"/>
      <c r="S21" s="15"/>
      <c r="T21" s="15"/>
      <c r="U21" s="15"/>
      <c r="V21" s="15"/>
      <c r="W21" s="15"/>
      <c r="X21" s="15" t="s">
        <v>8</v>
      </c>
      <c r="Y21" s="127">
        <v>3.04</v>
      </c>
      <c r="Z21" s="126"/>
    </row>
    <row r="22" spans="12:26">
      <c r="L22" s="15" t="s">
        <v>9</v>
      </c>
      <c r="M22" s="128">
        <v>2837.8104250000001</v>
      </c>
      <c r="N22" s="128">
        <f>N11</f>
        <v>2837.8104250000001</v>
      </c>
      <c r="O22" s="15"/>
      <c r="P22" s="15"/>
      <c r="Q22" s="15"/>
      <c r="R22" s="15"/>
      <c r="S22" s="15"/>
      <c r="T22" s="15"/>
      <c r="U22" s="15"/>
      <c r="V22" s="15"/>
      <c r="W22" s="15"/>
      <c r="X22" s="15" t="s">
        <v>9</v>
      </c>
      <c r="Y22" s="124">
        <v>3024.5102099999999</v>
      </c>
      <c r="Z22" s="128">
        <f>Z11</f>
        <v>0</v>
      </c>
    </row>
    <row r="23" spans="12:26">
      <c r="L23" s="15" t="s">
        <v>10</v>
      </c>
      <c r="M23" s="128">
        <v>3024.5102099999999</v>
      </c>
      <c r="N23" s="128">
        <f>N12</f>
        <v>3024.5102099999999</v>
      </c>
      <c r="O23" s="15"/>
      <c r="P23" s="15"/>
      <c r="Q23" s="15"/>
      <c r="R23" s="15"/>
      <c r="S23" s="15"/>
      <c r="T23" s="15"/>
      <c r="U23" s="15"/>
      <c r="V23" s="15"/>
      <c r="W23" s="15"/>
      <c r="X23" s="15" t="s">
        <v>10</v>
      </c>
      <c r="Y23" s="124">
        <v>3024.5102099999999</v>
      </c>
      <c r="Z23" s="128">
        <f>Z12</f>
        <v>3024.5102099999999</v>
      </c>
    </row>
    <row r="24" spans="12:26">
      <c r="L24" s="15" t="s">
        <v>64</v>
      </c>
      <c r="M24" s="127"/>
      <c r="N24" s="127"/>
      <c r="O24" s="15"/>
      <c r="P24" s="15"/>
      <c r="Q24" s="15"/>
      <c r="R24" s="15"/>
      <c r="S24" s="15"/>
      <c r="T24" s="15"/>
      <c r="U24" s="15"/>
      <c r="V24" s="15"/>
      <c r="W24" s="15"/>
      <c r="X24" s="15" t="s">
        <v>64</v>
      </c>
      <c r="Y24" s="127"/>
    </row>
    <row r="25" spans="12:26">
      <c r="L25" s="15" t="s">
        <v>65</v>
      </c>
      <c r="M25" s="125">
        <v>6.4699870158463568E-2</v>
      </c>
      <c r="N25" s="125"/>
      <c r="O25" s="15"/>
      <c r="P25" s="15"/>
      <c r="Q25" s="15"/>
      <c r="R25" s="15"/>
      <c r="S25" s="15"/>
      <c r="T25" s="15"/>
      <c r="U25" s="15"/>
      <c r="V25" s="15"/>
      <c r="W25" s="15"/>
      <c r="X25" s="15" t="s">
        <v>65</v>
      </c>
      <c r="Y25" s="125">
        <v>0.10321504638078993</v>
      </c>
    </row>
    <row r="26" spans="12:26">
      <c r="L26" s="15" t="s">
        <v>58</v>
      </c>
      <c r="M26" s="125">
        <v>4.096326585367227E-2</v>
      </c>
      <c r="N26" s="125"/>
      <c r="O26" s="15"/>
      <c r="P26" s="15"/>
      <c r="Q26" s="15"/>
      <c r="R26" s="15"/>
      <c r="S26" s="15"/>
      <c r="T26" s="15"/>
      <c r="U26" s="15"/>
      <c r="V26" s="15"/>
      <c r="W26" s="15"/>
      <c r="X26" s="15" t="s">
        <v>58</v>
      </c>
      <c r="Y26" s="125">
        <v>0.20188597210575265</v>
      </c>
    </row>
    <row r="27" spans="12:26">
      <c r="L27" s="15" t="s">
        <v>66</v>
      </c>
      <c r="M27" s="125">
        <v>3.8594377864531682E-2</v>
      </c>
      <c r="N27" s="125"/>
      <c r="O27" s="15"/>
      <c r="P27" s="15"/>
      <c r="Q27" s="15"/>
      <c r="R27" s="15"/>
      <c r="S27" s="15"/>
      <c r="T27" s="15"/>
      <c r="U27" s="15"/>
      <c r="V27" s="15"/>
      <c r="W27" s="15"/>
      <c r="X27" s="15" t="s">
        <v>66</v>
      </c>
      <c r="Y27" s="125">
        <v>0.11759732351936414</v>
      </c>
    </row>
    <row r="28" spans="12:26">
      <c r="L28" s="15" t="s">
        <v>60</v>
      </c>
      <c r="M28" s="125">
        <v>7.9062630309779669E-2</v>
      </c>
      <c r="N28" s="125"/>
      <c r="O28" s="15"/>
      <c r="P28" s="15"/>
      <c r="Q28" s="15"/>
      <c r="R28" s="15"/>
      <c r="S28" s="15"/>
      <c r="T28" s="15"/>
      <c r="U28" s="15"/>
      <c r="V28" s="15"/>
      <c r="W28" s="15"/>
      <c r="X28" s="15" t="s">
        <v>60</v>
      </c>
      <c r="Y28" s="125">
        <v>0.15112797524017063</v>
      </c>
    </row>
    <row r="29" spans="12:26">
      <c r="L29" s="15" t="s">
        <v>7</v>
      </c>
      <c r="M29" s="125">
        <v>0.11324226871829079</v>
      </c>
      <c r="N29" s="125"/>
      <c r="O29" s="15"/>
      <c r="P29" s="15"/>
      <c r="Q29" s="15"/>
      <c r="R29" s="15"/>
      <c r="S29" s="15"/>
      <c r="T29" s="15"/>
      <c r="U29" s="15"/>
      <c r="V29" s="15"/>
      <c r="W29" s="15"/>
      <c r="X29" s="15" t="s">
        <v>7</v>
      </c>
      <c r="Y29" s="125">
        <v>0.17674027725653829</v>
      </c>
    </row>
    <row r="30" spans="12:26">
      <c r="L30" s="15" t="s">
        <v>67</v>
      </c>
      <c r="M30" s="125">
        <v>0.10741687979539649</v>
      </c>
      <c r="N30" s="125"/>
      <c r="O30" s="15"/>
      <c r="P30" s="15"/>
      <c r="Q30" s="15"/>
      <c r="R30" s="15"/>
      <c r="S30" s="15"/>
      <c r="T30" s="15"/>
      <c r="U30" s="15"/>
      <c r="V30" s="15"/>
      <c r="W30" s="15"/>
      <c r="X30" s="15" t="s">
        <v>67</v>
      </c>
      <c r="Y30" s="125">
        <v>9.7472924187725907E-2</v>
      </c>
    </row>
  </sheetData>
  <mergeCells count="5">
    <mergeCell ref="A1:Z1"/>
    <mergeCell ref="C2:N2"/>
    <mergeCell ref="O2:Z2"/>
    <mergeCell ref="AB2:AM2"/>
    <mergeCell ref="AO2:AZ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B859-22FD-4624-8DC5-17690D348301}">
  <dimension ref="A1:AZ48"/>
  <sheetViews>
    <sheetView workbookViewId="0">
      <pane xSplit="2" ySplit="3" topLeftCell="G15" activePane="bottomRight" state="frozen"/>
      <selection pane="topRight" activeCell="D1" sqref="D1"/>
      <selection pane="bottomLeft" activeCell="A3" sqref="A3"/>
      <selection pane="bottomRight" activeCell="Z22" sqref="H22:Z22"/>
    </sheetView>
  </sheetViews>
  <sheetFormatPr defaultRowHeight="16.2"/>
  <cols>
    <col min="1" max="1" width="25" customWidth="1"/>
    <col min="2" max="2" width="12.109375" customWidth="1"/>
    <col min="3" max="26" width="13.21875" customWidth="1"/>
    <col min="28" max="28" width="15" bestFit="1" customWidth="1"/>
    <col min="29" max="36" width="10" bestFit="1" customWidth="1"/>
    <col min="37" max="37" width="10" customWidth="1"/>
    <col min="38" max="38" width="11.6640625" bestFit="1" customWidth="1"/>
    <col min="39" max="39" width="10.5546875" bestFit="1" customWidth="1"/>
    <col min="41" max="52" width="10.5546875" bestFit="1" customWidth="1"/>
  </cols>
  <sheetData>
    <row r="1" spans="1:52" ht="24" customHeight="1" thickBot="1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</row>
    <row r="2" spans="1:52" s="87" customFormat="1" ht="18" customHeight="1">
      <c r="A2" s="86"/>
      <c r="B2" s="86"/>
      <c r="C2" s="217">
        <v>2023</v>
      </c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9"/>
      <c r="O2" s="218">
        <v>2024</v>
      </c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B2" s="218">
        <v>2025</v>
      </c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O2" s="218">
        <v>2026</v>
      </c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</row>
    <row r="3" spans="1:52">
      <c r="A3" s="13"/>
      <c r="B3" s="13"/>
      <c r="C3" s="88" t="s">
        <v>20</v>
      </c>
      <c r="D3" s="12" t="s">
        <v>21</v>
      </c>
      <c r="E3" s="12" t="s">
        <v>22</v>
      </c>
      <c r="F3" s="12" t="s">
        <v>23</v>
      </c>
      <c r="G3" s="12" t="s">
        <v>24</v>
      </c>
      <c r="H3" s="12" t="s">
        <v>25</v>
      </c>
      <c r="I3" s="12" t="s">
        <v>26</v>
      </c>
      <c r="J3" s="12" t="s">
        <v>27</v>
      </c>
      <c r="K3" s="12" t="s">
        <v>28</v>
      </c>
      <c r="L3" s="12" t="s">
        <v>29</v>
      </c>
      <c r="M3" s="12" t="s">
        <v>30</v>
      </c>
      <c r="N3" s="123" t="s">
        <v>31</v>
      </c>
      <c r="O3" s="12" t="s">
        <v>20</v>
      </c>
      <c r="P3" s="12" t="s">
        <v>21</v>
      </c>
      <c r="Q3" s="12" t="s">
        <v>22</v>
      </c>
      <c r="R3" s="12" t="s">
        <v>23</v>
      </c>
      <c r="S3" s="12" t="s">
        <v>24</v>
      </c>
      <c r="T3" s="12" t="s">
        <v>25</v>
      </c>
      <c r="U3" s="12" t="s">
        <v>26</v>
      </c>
      <c r="V3" s="12" t="s">
        <v>27</v>
      </c>
      <c r="W3" s="12" t="s">
        <v>28</v>
      </c>
      <c r="X3" s="12" t="s">
        <v>29</v>
      </c>
      <c r="Y3" s="12" t="s">
        <v>30</v>
      </c>
      <c r="Z3" s="12" t="s">
        <v>31</v>
      </c>
      <c r="AB3" s="12" t="s">
        <v>20</v>
      </c>
      <c r="AC3" s="12" t="s">
        <v>21</v>
      </c>
      <c r="AD3" s="12" t="s">
        <v>22</v>
      </c>
      <c r="AE3" s="12" t="s">
        <v>23</v>
      </c>
      <c r="AF3" s="12" t="s">
        <v>24</v>
      </c>
      <c r="AG3" s="12" t="s">
        <v>25</v>
      </c>
      <c r="AH3" s="12" t="s">
        <v>26</v>
      </c>
      <c r="AI3" s="12" t="s">
        <v>27</v>
      </c>
      <c r="AJ3" s="12" t="s">
        <v>28</v>
      </c>
      <c r="AK3" s="12" t="s">
        <v>29</v>
      </c>
      <c r="AL3" s="12" t="s">
        <v>30</v>
      </c>
      <c r="AM3" s="12" t="s">
        <v>31</v>
      </c>
      <c r="AO3" s="12" t="s">
        <v>20</v>
      </c>
      <c r="AP3" s="12" t="s">
        <v>21</v>
      </c>
      <c r="AQ3" s="12" t="s">
        <v>22</v>
      </c>
      <c r="AR3" s="12" t="s">
        <v>23</v>
      </c>
      <c r="AS3" s="12" t="s">
        <v>24</v>
      </c>
      <c r="AT3" s="12" t="s">
        <v>25</v>
      </c>
      <c r="AU3" s="12" t="s">
        <v>26</v>
      </c>
      <c r="AV3" s="12" t="s">
        <v>27</v>
      </c>
      <c r="AW3" s="12" t="s">
        <v>28</v>
      </c>
      <c r="AX3" s="12" t="s">
        <v>29</v>
      </c>
      <c r="AY3" s="12" t="s">
        <v>30</v>
      </c>
      <c r="AZ3" s="12" t="s">
        <v>31</v>
      </c>
    </row>
    <row r="4" spans="1:52">
      <c r="A4" s="17" t="s">
        <v>2</v>
      </c>
      <c r="B4" s="20" t="s">
        <v>18</v>
      </c>
      <c r="C4" s="90">
        <f>raw!B32</f>
        <v>14814.979313112899</v>
      </c>
      <c r="D4" s="18">
        <f>raw!C32</f>
        <v>13735.482890977801</v>
      </c>
      <c r="E4" s="18">
        <f>raw!D32</f>
        <v>14464.875976774299</v>
      </c>
      <c r="F4" s="18">
        <f>raw!E32</f>
        <v>13685.917272225099</v>
      </c>
      <c r="G4" s="18">
        <f>raw!F32</f>
        <v>14776.8409662383</v>
      </c>
      <c r="H4" s="18">
        <f>raw!G32</f>
        <v>15083.560642738301</v>
      </c>
      <c r="I4" s="18">
        <f>raw!H32</f>
        <v>14274.763563082599</v>
      </c>
      <c r="J4" s="18">
        <f>raw!I32</f>
        <v>14561.723196991399</v>
      </c>
      <c r="K4" s="18">
        <f>raw!J32</f>
        <v>14350.5652457043</v>
      </c>
      <c r="L4" s="18">
        <f>raw!K32</f>
        <v>14817.542416784001</v>
      </c>
      <c r="M4" s="18">
        <f>raw!L32</f>
        <v>21700.686301605401</v>
      </c>
      <c r="N4" s="91">
        <f>raw!M32</f>
        <v>17080.886801372901</v>
      </c>
      <c r="O4" s="18">
        <f>raw!O32</f>
        <v>16958.579452999998</v>
      </c>
      <c r="P4" s="18">
        <f>raw!P32</f>
        <v>15247.917868</v>
      </c>
      <c r="Q4" s="18">
        <f>raw!Q32</f>
        <v>16070.134168</v>
      </c>
      <c r="R4" s="18">
        <f>raw!R32</f>
        <v>15042.778586</v>
      </c>
      <c r="S4" s="18">
        <f>raw!S32</f>
        <v>16031.947122</v>
      </c>
      <c r="T4" s="18">
        <f>raw!T32</f>
        <v>16669.169867000001</v>
      </c>
      <c r="U4" s="18">
        <f>raw!U32</f>
        <v>15470.631192000001</v>
      </c>
      <c r="V4" s="18">
        <f>raw!V32</f>
        <v>15817.810332999999</v>
      </c>
      <c r="W4" s="18">
        <f>raw!W32</f>
        <v>15913.075638</v>
      </c>
      <c r="X4" s="18">
        <f>raw!X32</f>
        <v>15929.971154999999</v>
      </c>
      <c r="Y4" s="18">
        <f>raw!Y32</f>
        <v>23065.358815</v>
      </c>
      <c r="Z4" s="18">
        <f>raw!Z32</f>
        <v>17156.530975000001</v>
      </c>
      <c r="AB4" s="18">
        <f>raw!AB32</f>
        <v>16461.916163000002</v>
      </c>
      <c r="AC4" s="18">
        <f>raw!AC32</f>
        <v>15528.062521</v>
      </c>
      <c r="AD4" s="18">
        <f>raw!AD32</f>
        <v>16177.374327</v>
      </c>
      <c r="AE4" s="18">
        <f>raw!AE32</f>
        <v>15393.306404999999</v>
      </c>
      <c r="AF4" s="18">
        <f>raw!AF32</f>
        <v>15823.031730000001</v>
      </c>
      <c r="AG4" s="18">
        <f>raw!AG32</f>
        <v>16254.676384</v>
      </c>
      <c r="AH4" s="18">
        <f>raw!AH32</f>
        <v>15092.708366000001</v>
      </c>
      <c r="AI4" s="18">
        <f>raw!AI32</f>
        <v>15468.138074</v>
      </c>
      <c r="AJ4" s="18">
        <f>raw!AJ32</f>
        <v>15778.960085000001</v>
      </c>
      <c r="AK4" s="18">
        <f>raw!AK32</f>
        <v>15624.962855965901</v>
      </c>
      <c r="AL4" s="18">
        <f>raw!AL32</f>
        <v>23112.129747400701</v>
      </c>
      <c r="AM4" s="18">
        <f>raw!AM32</f>
        <v>18049.316333740899</v>
      </c>
      <c r="AO4" s="18">
        <f>raw!AO32</f>
        <v>17145.4583278928</v>
      </c>
      <c r="AP4" s="18">
        <f>raw!AP32</f>
        <v>15523.5543110693</v>
      </c>
      <c r="AQ4" s="18">
        <f>raw!AQ32</f>
        <v>17109.2901424093</v>
      </c>
      <c r="AR4" s="18">
        <f>raw!AR32</f>
        <v>15669.304640660601</v>
      </c>
      <c r="AS4" s="18">
        <f>raw!AS32</f>
        <v>16440.6828232767</v>
      </c>
      <c r="AT4" s="18">
        <f>raw!AT32</f>
        <v>0</v>
      </c>
      <c r="AU4" s="18">
        <f>raw!AU32</f>
        <v>0</v>
      </c>
      <c r="AV4" s="18">
        <f>raw!AV32</f>
        <v>0</v>
      </c>
      <c r="AW4" s="18">
        <f>raw!AW32</f>
        <v>0</v>
      </c>
      <c r="AX4" s="18">
        <f>raw!AX32</f>
        <v>0</v>
      </c>
      <c r="AY4" s="18">
        <f>raw!AY32</f>
        <v>0</v>
      </c>
      <c r="AZ4" s="18">
        <f>raw!AZ32</f>
        <v>0</v>
      </c>
    </row>
    <row r="5" spans="1:52">
      <c r="A5" s="15" t="s">
        <v>12</v>
      </c>
      <c r="B5" s="28"/>
      <c r="C5" s="98"/>
      <c r="D5" s="16"/>
      <c r="E5" s="16"/>
      <c r="F5" s="16"/>
      <c r="G5" s="16"/>
      <c r="H5" s="16"/>
      <c r="I5" s="16"/>
      <c r="J5" s="16"/>
      <c r="K5" s="16"/>
      <c r="L5" s="16"/>
      <c r="M5" s="16"/>
      <c r="N5" s="101"/>
      <c r="O5" s="23">
        <f t="shared" ref="O5:Z5" si="0">(O4-C4)/C4</f>
        <v>0.14469140284183696</v>
      </c>
      <c r="P5" s="23">
        <f t="shared" si="0"/>
        <v>0.11011152567600284</v>
      </c>
      <c r="Q5" s="23">
        <f t="shared" si="0"/>
        <v>0.1109762844702715</v>
      </c>
      <c r="R5" s="23">
        <f t="shared" si="0"/>
        <v>9.9142884381493782E-2</v>
      </c>
      <c r="S5" s="23">
        <f t="shared" si="0"/>
        <v>8.4937379960258741E-2</v>
      </c>
      <c r="T5" s="23">
        <f t="shared" si="0"/>
        <v>0.10512167927836466</v>
      </c>
      <c r="U5" s="23">
        <f t="shared" si="0"/>
        <v>8.3774951762434463E-2</v>
      </c>
      <c r="V5" s="29">
        <f t="shared" si="0"/>
        <v>8.62595119421114E-2</v>
      </c>
      <c r="W5" s="29">
        <f t="shared" si="0"/>
        <v>0.10888145278900582</v>
      </c>
      <c r="X5" s="29">
        <f t="shared" si="0"/>
        <v>7.5075117514489947E-2</v>
      </c>
      <c r="Y5" s="29">
        <f t="shared" si="0"/>
        <v>6.288614537014163E-2</v>
      </c>
      <c r="Z5" s="29">
        <f t="shared" si="0"/>
        <v>4.4285858519371966E-3</v>
      </c>
      <c r="AB5" s="29">
        <f t="shared" ref="AB5:AM5" si="1">(AB4-O4)/O4</f>
        <v>-2.9286845126178084E-2</v>
      </c>
      <c r="AC5" s="29">
        <f t="shared" si="1"/>
        <v>1.8372649657821424E-2</v>
      </c>
      <c r="AD5" s="29">
        <f t="shared" si="1"/>
        <v>6.6732584730713265E-3</v>
      </c>
      <c r="AE5" s="29">
        <f t="shared" si="1"/>
        <v>2.3302065971125035E-2</v>
      </c>
      <c r="AF5" s="29">
        <f t="shared" si="1"/>
        <v>-1.3031192681100647E-2</v>
      </c>
      <c r="AG5" s="29">
        <f t="shared" si="1"/>
        <v>-2.4865874324106207E-2</v>
      </c>
      <c r="AH5" s="29">
        <f t="shared" si="1"/>
        <v>-2.4428403812989039E-2</v>
      </c>
      <c r="AI5" s="29">
        <f t="shared" si="1"/>
        <v>-2.2106236681223395E-2</v>
      </c>
      <c r="AJ5" s="29">
        <f t="shared" si="1"/>
        <v>-8.42800952191387E-3</v>
      </c>
      <c r="AK5" s="29">
        <f t="shared" si="1"/>
        <v>-1.9146820547654531E-2</v>
      </c>
      <c r="AL5" s="29">
        <f t="shared" si="1"/>
        <v>2.0277565493706795E-3</v>
      </c>
      <c r="AM5" s="29">
        <f t="shared" si="1"/>
        <v>5.2037638613647366E-2</v>
      </c>
      <c r="AO5" s="29">
        <f t="shared" ref="AO5:AQ5" si="2">(AO4-AB4)/AB4</f>
        <v>4.1522636740742011E-2</v>
      </c>
      <c r="AP5" s="29">
        <f t="shared" si="2"/>
        <v>-2.9032662153460843E-4</v>
      </c>
      <c r="AQ5" s="29">
        <f t="shared" si="2"/>
        <v>5.760612300686737E-2</v>
      </c>
      <c r="AR5" s="29">
        <f>(AR4-AE4)/AE4</f>
        <v>1.7929756505785703E-2</v>
      </c>
      <c r="AS5" s="29">
        <f t="shared" ref="AS5" si="3">(AS4-AG4)/AG4</f>
        <v>1.1443256997708795E-2</v>
      </c>
      <c r="AT5" s="29">
        <f t="shared" ref="AT5" si="4">(AT4-AH4)/AH4</f>
        <v>-1</v>
      </c>
      <c r="AU5" s="29">
        <f t="shared" ref="AU5" si="5">(AU4-AI4)/AI4</f>
        <v>-1</v>
      </c>
      <c r="AV5" s="29">
        <f t="shared" ref="AV5" si="6">(AV4-AJ4)/AJ4</f>
        <v>-1</v>
      </c>
      <c r="AW5" s="29">
        <f t="shared" ref="AW5" si="7">(AW4-AK4)/AK4</f>
        <v>-1</v>
      </c>
      <c r="AX5" s="29">
        <f t="shared" ref="AX5" si="8">(AX4-AL4)/AL4</f>
        <v>-1</v>
      </c>
      <c r="AY5" s="29">
        <f t="shared" ref="AY5" si="9">(AY4-AM4)/AM4</f>
        <v>-1</v>
      </c>
      <c r="AZ5" s="29" t="e">
        <f t="shared" ref="AZ5" si="10">(AZ4-AN4)/AN4</f>
        <v>#DIV/0!</v>
      </c>
    </row>
    <row r="6" spans="1:52">
      <c r="A6" s="15" t="s">
        <v>13</v>
      </c>
      <c r="B6" s="28"/>
      <c r="C6" s="98"/>
      <c r="D6" s="16"/>
      <c r="E6" s="16"/>
      <c r="F6" s="16"/>
      <c r="G6" s="16"/>
      <c r="H6" s="16"/>
      <c r="I6" s="16"/>
      <c r="J6" s="16"/>
      <c r="K6" s="16"/>
      <c r="L6" s="16"/>
      <c r="M6" s="16"/>
      <c r="N6" s="101"/>
      <c r="O6" s="23">
        <f>(O4-N4)/N4</f>
        <v>-7.160480002892565E-3</v>
      </c>
      <c r="P6" s="23">
        <f t="shared" ref="P6:Z6" si="11">(P4-O4)/O4</f>
        <v>-0.10087292922977575</v>
      </c>
      <c r="Q6" s="23">
        <f t="shared" si="11"/>
        <v>5.3923185258332347E-2</v>
      </c>
      <c r="R6" s="23">
        <f t="shared" si="11"/>
        <v>-6.3929496248123677E-2</v>
      </c>
      <c r="S6" s="23">
        <f t="shared" si="11"/>
        <v>6.5757036198126173E-2</v>
      </c>
      <c r="T6" s="23">
        <f t="shared" si="11"/>
        <v>3.9747058803953121E-2</v>
      </c>
      <c r="U6" s="23">
        <f t="shared" si="11"/>
        <v>-7.1901521465250043E-2</v>
      </c>
      <c r="V6" s="23">
        <f t="shared" si="11"/>
        <v>2.2441174939231187E-2</v>
      </c>
      <c r="W6" s="23">
        <f t="shared" si="11"/>
        <v>6.0226607219618132E-3</v>
      </c>
      <c r="X6" s="23">
        <f t="shared" si="11"/>
        <v>1.0617379936065266E-3</v>
      </c>
      <c r="Y6" s="23">
        <f t="shared" si="11"/>
        <v>0.44792219587669435</v>
      </c>
      <c r="Z6" s="23">
        <f t="shared" si="11"/>
        <v>-0.25617758160160659</v>
      </c>
      <c r="AB6" s="23">
        <f>(AB4-Z4)/Z4</f>
        <v>-4.0486903384616177E-2</v>
      </c>
      <c r="AC6" s="23">
        <f t="shared" ref="AC6" si="12">(AC4-AB4)/AB4</f>
        <v>-5.6728125253057864E-2</v>
      </c>
      <c r="AD6" s="23">
        <f t="shared" ref="AD6" si="13">(AD4-AC4)/AC4</f>
        <v>4.1815378133741851E-2</v>
      </c>
      <c r="AE6" s="23">
        <f t="shared" ref="AE6" si="14">(AE4-AD4)/AD4</f>
        <v>-4.8466945633531683E-2</v>
      </c>
      <c r="AF6" s="23">
        <f t="shared" ref="AF6" si="15">(AF4-AE4)/AE4</f>
        <v>2.7916375708627445E-2</v>
      </c>
      <c r="AG6" s="23">
        <f t="shared" ref="AG6" si="16">(AG4-AF4)/AF4</f>
        <v>2.7279516426780222E-2</v>
      </c>
      <c r="AH6" s="23">
        <f t="shared" ref="AH6" si="17">(AH4-AG4)/AG4</f>
        <v>-7.1485152367829485E-2</v>
      </c>
      <c r="AI6" s="23">
        <f t="shared" ref="AI6" si="18">(AI4-AH4)/AH4</f>
        <v>2.4874906404853517E-2</v>
      </c>
      <c r="AJ6" s="23">
        <f t="shared" ref="AJ6" si="19">(AJ4-AI4)/AI4</f>
        <v>2.0094339054449805E-2</v>
      </c>
      <c r="AK6" s="23">
        <f t="shared" ref="AK6" si="20">(AK4-AJ4)/AJ4</f>
        <v>-9.7596564161724526E-3</v>
      </c>
      <c r="AL6" s="23">
        <f t="shared" ref="AL6" si="21">(AL4-AK4)/AK4</f>
        <v>0.47917982016680827</v>
      </c>
      <c r="AM6" s="23">
        <f t="shared" ref="AM6" si="22">(AM4-AL4)/AL4</f>
        <v>-0.2190543869817618</v>
      </c>
      <c r="AO6" s="23">
        <f>(AO4-AM4)/AM4</f>
        <v>-5.0077132514900355E-2</v>
      </c>
      <c r="AP6" s="23">
        <f t="shared" ref="AP6" si="23">(AP4-AO4)/AO4</f>
        <v>-9.4596713940561933E-2</v>
      </c>
      <c r="AQ6" s="23">
        <f t="shared" ref="AQ6" si="24">(AQ4-AP4)/AP4</f>
        <v>0.10215030653187895</v>
      </c>
      <c r="AR6" s="23">
        <f t="shared" ref="AR6" si="25">(AR4-AQ4)/AQ4</f>
        <v>-8.4163953604326602E-2</v>
      </c>
      <c r="AS6" s="23">
        <f t="shared" ref="AS6" si="26">(AS4-AR4)/AR4</f>
        <v>4.9228616094069311E-2</v>
      </c>
      <c r="AT6" s="23">
        <f t="shared" ref="AT6" si="27">(AT4-AS4)/AS4</f>
        <v>-1</v>
      </c>
      <c r="AU6" s="23" t="e">
        <f t="shared" ref="AU6" si="28">(AU4-AT4)/AT4</f>
        <v>#DIV/0!</v>
      </c>
      <c r="AV6" s="23" t="e">
        <f t="shared" ref="AV6" si="29">(AV4-AU4)/AU4</f>
        <v>#DIV/0!</v>
      </c>
      <c r="AW6" s="23" t="e">
        <f t="shared" ref="AW6" si="30">(AW4-AV4)/AV4</f>
        <v>#DIV/0!</v>
      </c>
      <c r="AX6" s="23" t="e">
        <f t="shared" ref="AX6" si="31">(AX4-AW4)/AW4</f>
        <v>#DIV/0!</v>
      </c>
      <c r="AY6" s="23" t="e">
        <f t="shared" ref="AY6" si="32">(AY4-AX4)/AX4</f>
        <v>#DIV/0!</v>
      </c>
      <c r="AZ6" s="23" t="e">
        <f t="shared" ref="AZ6" si="33">(AZ4-AY4)/AY4</f>
        <v>#DIV/0!</v>
      </c>
    </row>
    <row r="7" spans="1:52">
      <c r="A7" s="17" t="s">
        <v>3</v>
      </c>
      <c r="B7" s="20" t="s">
        <v>19</v>
      </c>
      <c r="C7" s="90">
        <f>raw!B33</f>
        <v>2886.7427441129576</v>
      </c>
      <c r="D7" s="18">
        <f>raw!C33</f>
        <v>2839.2053132014084</v>
      </c>
      <c r="E7" s="18">
        <f>raw!D33</f>
        <v>2956.4666558637318</v>
      </c>
      <c r="F7" s="18">
        <f>raw!E33</f>
        <v>2856.6369866390278</v>
      </c>
      <c r="G7" s="18">
        <f>raw!F33</f>
        <v>2954.8399979825117</v>
      </c>
      <c r="H7" s="18">
        <f>raw!G33</f>
        <v>3095.2013175474913</v>
      </c>
      <c r="I7" s="18">
        <f>raw!H33</f>
        <v>2961.5653297105073</v>
      </c>
      <c r="J7" s="18">
        <f>raw!I33</f>
        <v>2953.7083905602676</v>
      </c>
      <c r="K7" s="18">
        <f>raw!J33</f>
        <v>2834.8833820995637</v>
      </c>
      <c r="L7" s="18">
        <f>raw!K33</f>
        <v>2830.6089718462945</v>
      </c>
      <c r="M7" s="18">
        <f>raw!L33</f>
        <v>3099.4616046065066</v>
      </c>
      <c r="N7" s="91">
        <f>raw!M33</f>
        <v>3519.4082976077098</v>
      </c>
      <c r="O7" s="18">
        <f>raw!O33</f>
        <v>3675.2648120542099</v>
      </c>
      <c r="P7" s="18">
        <f>raw!P33</f>
        <v>3331.656375780296</v>
      </c>
      <c r="Q7" s="18">
        <f>raw!Q33</f>
        <v>3580.5579168399317</v>
      </c>
      <c r="R7" s="18">
        <f>raw!R33</f>
        <v>3484.0873929574946</v>
      </c>
      <c r="S7" s="18">
        <f>raw!S33</f>
        <v>3490.7400825319337</v>
      </c>
      <c r="T7" s="18">
        <f>raw!T33</f>
        <v>3611.58500357804</v>
      </c>
      <c r="U7" s="18">
        <f>raw!U33</f>
        <v>3513.0107502023302</v>
      </c>
      <c r="V7" s="18">
        <f>raw!V33</f>
        <v>3562.6663288240024</v>
      </c>
      <c r="W7" s="18">
        <f>raw!W33</f>
        <v>3446.191014701747</v>
      </c>
      <c r="X7" s="18">
        <f>raw!X33</f>
        <v>3472.3096040193809</v>
      </c>
      <c r="Y7" s="18">
        <f>raw!Y33</f>
        <v>3855.3619639505409</v>
      </c>
      <c r="Z7" s="18">
        <f>raw!Z33</f>
        <v>3496.6581567499206</v>
      </c>
      <c r="AB7" s="18">
        <f>raw!AB33</f>
        <v>3590.6773457600002</v>
      </c>
      <c r="AC7" s="18">
        <f>raw!AC33</f>
        <v>3469.5615505199999</v>
      </c>
      <c r="AD7" s="18">
        <f>raw!AD33</f>
        <v>3494.1166316700001</v>
      </c>
      <c r="AE7" s="18">
        <f>raw!AE33</f>
        <v>3437.97506208</v>
      </c>
      <c r="AF7" s="18">
        <f>raw!AF33</f>
        <v>3496.4752810500004</v>
      </c>
      <c r="AG7" s="18">
        <f>raw!AG33</f>
        <v>3654.4694887799997</v>
      </c>
      <c r="AH7" s="18">
        <f>raw!AH33</f>
        <v>3575.9518948099999</v>
      </c>
      <c r="AI7" s="18">
        <f>raw!AI33</f>
        <v>3561.4542377600001</v>
      </c>
      <c r="AJ7" s="18">
        <f>raw!AJ33</f>
        <v>3492.8313839799998</v>
      </c>
      <c r="AK7" s="18">
        <f>raw!AK33</f>
        <v>3407.5550666614872</v>
      </c>
      <c r="AL7" s="18">
        <f>raw!AL33</f>
        <v>4029.7603394144553</v>
      </c>
      <c r="AM7" s="18">
        <f>raw!AM33</f>
        <v>3959.8724042587664</v>
      </c>
      <c r="AO7" s="18">
        <f>raw!AO33</f>
        <v>3871.9102707281095</v>
      </c>
      <c r="AP7" s="18">
        <f>raw!AP33</f>
        <v>3584.6630197037744</v>
      </c>
      <c r="AQ7" s="18">
        <f>raw!AQ33</f>
        <v>3897.3167079579689</v>
      </c>
      <c r="AR7" s="18">
        <f>raw!AR33</f>
        <v>3787.6145088975177</v>
      </c>
      <c r="AS7" s="18">
        <f>raw!AS33</f>
        <v>3834.4210230375375</v>
      </c>
      <c r="AT7" s="18">
        <f>raw!AT33</f>
        <v>0</v>
      </c>
      <c r="AU7" s="18">
        <f>raw!AU33</f>
        <v>0</v>
      </c>
      <c r="AV7" s="18">
        <f>raw!AV33</f>
        <v>0</v>
      </c>
      <c r="AW7" s="18">
        <f>raw!AW33</f>
        <v>0</v>
      </c>
      <c r="AX7" s="18">
        <f>raw!AX33</f>
        <v>0</v>
      </c>
      <c r="AY7" s="18">
        <f>raw!AY33</f>
        <v>0</v>
      </c>
      <c r="AZ7" s="18">
        <f>raw!AZ33</f>
        <v>0</v>
      </c>
    </row>
    <row r="8" spans="1:52">
      <c r="A8" s="15" t="s">
        <v>11</v>
      </c>
      <c r="B8" s="19"/>
      <c r="C8" s="98"/>
      <c r="D8" s="16"/>
      <c r="E8" s="16"/>
      <c r="F8" s="16"/>
      <c r="G8" s="16"/>
      <c r="H8" s="16"/>
      <c r="I8" s="16"/>
      <c r="J8" s="16"/>
      <c r="K8" s="16"/>
      <c r="L8" s="16"/>
      <c r="M8" s="16"/>
      <c r="N8" s="101"/>
      <c r="O8" s="23">
        <f t="shared" ref="O8:Z8" si="34">(O7-C7)/C7</f>
        <v>0.27315287084355366</v>
      </c>
      <c r="P8" s="30">
        <f t="shared" si="34"/>
        <v>0.17344679523144929</v>
      </c>
      <c r="Q8" s="30">
        <f t="shared" si="34"/>
        <v>0.21109362411999591</v>
      </c>
      <c r="R8" s="30">
        <f t="shared" si="34"/>
        <v>0.21964653165703518</v>
      </c>
      <c r="S8" s="30">
        <f t="shared" si="34"/>
        <v>0.18136348665759253</v>
      </c>
      <c r="T8" s="30">
        <f t="shared" si="34"/>
        <v>0.16683363473097435</v>
      </c>
      <c r="U8" s="30">
        <f t="shared" si="34"/>
        <v>0.18620066049521408</v>
      </c>
      <c r="V8" s="30">
        <f t="shared" si="34"/>
        <v>0.206167250704199</v>
      </c>
      <c r="W8" s="30">
        <f t="shared" si="34"/>
        <v>0.21563766483735858</v>
      </c>
      <c r="X8" s="30">
        <f t="shared" si="34"/>
        <v>0.22670055756748714</v>
      </c>
      <c r="Y8" s="30">
        <f t="shared" si="34"/>
        <v>0.24388118188674898</v>
      </c>
      <c r="Z8" s="30">
        <f t="shared" si="34"/>
        <v>-6.4641948117396186E-3</v>
      </c>
      <c r="AB8" s="23">
        <f t="shared" ref="AB8" si="35">(AB7-P7)/P7</f>
        <v>7.7745403716504166E-2</v>
      </c>
      <c r="AC8" s="30">
        <f t="shared" ref="AC8" si="36">(AC7-Q7)/Q7</f>
        <v>-3.0999740514710956E-2</v>
      </c>
      <c r="AD8" s="30">
        <f t="shared" ref="AD8" si="37">(AD7-R7)/R7</f>
        <v>2.8785841402193145E-3</v>
      </c>
      <c r="AE8" s="30">
        <f t="shared" ref="AE8" si="38">(AE7-S7)/S7</f>
        <v>-1.5115711626877035E-2</v>
      </c>
      <c r="AF8" s="30">
        <f t="shared" ref="AF8" si="39">(AF7-T7)/T7</f>
        <v>-3.187235588086644E-2</v>
      </c>
      <c r="AG8" s="30">
        <f t="shared" ref="AG8" si="40">(AG7-U7)/U7</f>
        <v>4.026709527419528E-2</v>
      </c>
      <c r="AH8" s="30">
        <f t="shared" ref="AH8" si="41">(AH7-V7)/V7</f>
        <v>3.7291075727495528E-3</v>
      </c>
      <c r="AI8" s="30">
        <f t="shared" ref="AI8" si="42">(AI7-W7)/W7</f>
        <v>3.344655666692016E-2</v>
      </c>
      <c r="AJ8" s="30">
        <f t="shared" ref="AJ8" si="43">(AJ7-X7)/X7</f>
        <v>5.9101238947310104E-3</v>
      </c>
      <c r="AK8" s="30">
        <f t="shared" ref="AK8" si="44">(AK7-Y7)/Y7</f>
        <v>-0.11615171324411563</v>
      </c>
      <c r="AL8" s="30">
        <f t="shared" ref="AL8" si="45">(AL7-Z7)/Z7</f>
        <v>0.15246048048346919</v>
      </c>
      <c r="AM8" s="30" t="e">
        <f t="shared" ref="AM8" si="46">(AM7-AA7)/AA7</f>
        <v>#DIV/0!</v>
      </c>
      <c r="AO8" s="30">
        <f t="shared" ref="AO8" si="47">(AO7-AC7)/AC7</f>
        <v>0.11596529254476194</v>
      </c>
      <c r="AP8" s="30">
        <f t="shared" ref="AP8" si="48">(AP7-AD7)/AD7</f>
        <v>2.5913956967858278E-2</v>
      </c>
      <c r="AQ8" s="30">
        <f t="shared" ref="AQ8" si="49">(AQ7-AE7)/AE7</f>
        <v>0.13360819598268517</v>
      </c>
      <c r="AR8" s="30">
        <f t="shared" ref="AR8" si="50">(AR7-AF7)/AF7</f>
        <v>8.3266491093306819E-2</v>
      </c>
      <c r="AS8" s="30">
        <f t="shared" ref="AS8" si="51">(AS7-AG7)/AG7</f>
        <v>4.9241493138751702E-2</v>
      </c>
      <c r="AT8" s="30">
        <f t="shared" ref="AT8" si="52">(AT7-AH7)/AH7</f>
        <v>-1</v>
      </c>
      <c r="AU8" s="30">
        <f t="shared" ref="AU8" si="53">(AU7-AI7)/AI7</f>
        <v>-1</v>
      </c>
      <c r="AV8" s="30">
        <f t="shared" ref="AV8" si="54">(AV7-AJ7)/AJ7</f>
        <v>-1</v>
      </c>
      <c r="AW8" s="30">
        <f t="shared" ref="AW8" si="55">(AW7-AK7)/AK7</f>
        <v>-1</v>
      </c>
      <c r="AX8" s="30">
        <f t="shared" ref="AX8" si="56">(AX7-AL7)/AL7</f>
        <v>-1</v>
      </c>
      <c r="AY8" s="30">
        <f t="shared" ref="AY8" si="57">(AY7-AM7)/AM7</f>
        <v>-1</v>
      </c>
      <c r="AZ8" s="30" t="e">
        <f t="shared" ref="AZ8" si="58">(AZ7-AN7)/AN7</f>
        <v>#DIV/0!</v>
      </c>
    </row>
    <row r="9" spans="1:52">
      <c r="A9" s="15" t="s">
        <v>13</v>
      </c>
      <c r="B9" s="19"/>
      <c r="C9" s="98"/>
      <c r="D9" s="16"/>
      <c r="E9" s="16"/>
      <c r="F9" s="16"/>
      <c r="G9" s="16"/>
      <c r="H9" s="16"/>
      <c r="I9" s="16"/>
      <c r="J9" s="16"/>
      <c r="K9" s="16"/>
      <c r="L9" s="16"/>
      <c r="M9" s="16"/>
      <c r="N9" s="101"/>
      <c r="O9" s="23">
        <f t="shared" ref="O9:Z9" si="59">(O7-N7)/N7</f>
        <v>4.4284863041449997E-2</v>
      </c>
      <c r="P9" s="23">
        <f t="shared" si="59"/>
        <v>-9.3492157394193684E-2</v>
      </c>
      <c r="Q9" s="23">
        <f t="shared" si="59"/>
        <v>7.4708046984989965E-2</v>
      </c>
      <c r="R9" s="23">
        <f t="shared" si="59"/>
        <v>-2.6942874860010228E-2</v>
      </c>
      <c r="S9" s="23">
        <f t="shared" si="59"/>
        <v>1.9094496848404109E-3</v>
      </c>
      <c r="T9" s="23">
        <f t="shared" si="59"/>
        <v>3.4618710700011213E-2</v>
      </c>
      <c r="U9" s="23">
        <f t="shared" si="59"/>
        <v>-2.7293903723171704E-2</v>
      </c>
      <c r="V9" s="23">
        <f t="shared" si="59"/>
        <v>1.4134764210104497E-2</v>
      </c>
      <c r="W9" s="23">
        <f t="shared" si="59"/>
        <v>-3.2693298606132078E-2</v>
      </c>
      <c r="X9" s="23">
        <f t="shared" si="59"/>
        <v>7.5789731927829182E-3</v>
      </c>
      <c r="Y9" s="23">
        <f t="shared" si="59"/>
        <v>0.11031630344476102</v>
      </c>
      <c r="Z9" s="23">
        <f t="shared" si="59"/>
        <v>-9.3040241241852437E-2</v>
      </c>
      <c r="AB9" s="23">
        <f>(AB7-Z7)/Z7</f>
        <v>2.6888298711324036E-2</v>
      </c>
      <c r="AC9" s="23">
        <f t="shared" ref="AC9" si="60">(AC7-AB7)/AB7</f>
        <v>-3.3730626168073333E-2</v>
      </c>
      <c r="AD9" s="23">
        <f t="shared" ref="AD9" si="61">(AD7-AC7)/AC7</f>
        <v>7.0772865079508441E-3</v>
      </c>
      <c r="AE9" s="23">
        <f t="shared" ref="AE9" si="62">(AE7-AD7)/AD7</f>
        <v>-1.6067457245457592E-2</v>
      </c>
      <c r="AF9" s="23">
        <f t="shared" ref="AF9" si="63">(AF7-AE7)/AE7</f>
        <v>1.7015893924084275E-2</v>
      </c>
      <c r="AG9" s="23">
        <f t="shared" ref="AG9" si="64">(AG7-AF7)/AF7</f>
        <v>4.5186708050329254E-2</v>
      </c>
      <c r="AH9" s="23">
        <f t="shared" ref="AH9" si="65">(AH7-AG7)/AG7</f>
        <v>-2.1485360381599993E-2</v>
      </c>
      <c r="AI9" s="23">
        <f t="shared" ref="AI9" si="66">(AI7-AH7)/AH7</f>
        <v>-4.0542091942123611E-3</v>
      </c>
      <c r="AJ9" s="23">
        <f t="shared" ref="AJ9" si="67">(AJ7-AI7)/AI7</f>
        <v>-1.9268211578414393E-2</v>
      </c>
      <c r="AK9" s="23">
        <f t="shared" ref="AK9" si="68">(AK7-AJ7)/AJ7</f>
        <v>-2.4414667627425588E-2</v>
      </c>
      <c r="AL9" s="23">
        <f t="shared" ref="AL9" si="69">(AL7-AK7)/AK7</f>
        <v>0.18259580860202107</v>
      </c>
      <c r="AM9" s="23">
        <f t="shared" ref="AM9" si="70">(AM7-AL7)/AL7</f>
        <v>-1.7342950763628771E-2</v>
      </c>
      <c r="AO9" s="23">
        <f>(AO7-AM7)/AM7</f>
        <v>-2.2213375722928693E-2</v>
      </c>
      <c r="AP9" s="23">
        <f t="shared" ref="AP9" si="71">(AP7-AO7)/AO7</f>
        <v>-7.4187476191259594E-2</v>
      </c>
      <c r="AQ9" s="23">
        <f t="shared" ref="AQ9" si="72">(AQ7-AP7)/AP7</f>
        <v>8.7219826950437118E-2</v>
      </c>
      <c r="AR9" s="23">
        <f t="shared" ref="AR9" si="73">(AR7-AQ7)/AQ7</f>
        <v>-2.8148135571443099E-2</v>
      </c>
      <c r="AS9" s="23">
        <f t="shared" ref="AS9" si="74">(AS7-AR7)/AR7</f>
        <v>1.235778193109837E-2</v>
      </c>
      <c r="AT9" s="23">
        <f t="shared" ref="AT9" si="75">(AT7-AS7)/AS7</f>
        <v>-1</v>
      </c>
      <c r="AU9" s="23" t="e">
        <f t="shared" ref="AU9" si="76">(AU7-AT7)/AT7</f>
        <v>#DIV/0!</v>
      </c>
      <c r="AV9" s="23" t="e">
        <f t="shared" ref="AV9" si="77">(AV7-AU7)/AU7</f>
        <v>#DIV/0!</v>
      </c>
      <c r="AW9" s="23" t="e">
        <f t="shared" ref="AW9" si="78">(AW7-AV7)/AV7</f>
        <v>#DIV/0!</v>
      </c>
      <c r="AX9" s="23" t="e">
        <f t="shared" ref="AX9" si="79">(AX7-AW7)/AW7</f>
        <v>#DIV/0!</v>
      </c>
      <c r="AY9" s="23" t="e">
        <f t="shared" ref="AY9" si="80">(AY7-AX7)/AX7</f>
        <v>#DIV/0!</v>
      </c>
      <c r="AZ9" s="23" t="e">
        <f t="shared" ref="AZ9" si="81">(AZ7-AY7)/AY7</f>
        <v>#DIV/0!</v>
      </c>
    </row>
    <row r="10" spans="1:52">
      <c r="A10" s="17" t="s">
        <v>4</v>
      </c>
      <c r="B10" s="20" t="s">
        <v>14</v>
      </c>
      <c r="C10" s="90">
        <f>raw!B34</f>
        <v>1421.5407528286526</v>
      </c>
      <c r="D10" s="18">
        <f>raw!C34</f>
        <v>1376.0586000116823</v>
      </c>
      <c r="E10" s="18">
        <f>raw!D34</f>
        <v>1491.9939769261409</v>
      </c>
      <c r="F10" s="18">
        <f>raw!E34</f>
        <v>1384.1967241857435</v>
      </c>
      <c r="G10" s="18">
        <f>raw!F34</f>
        <v>1480.0763077923666</v>
      </c>
      <c r="H10" s="18">
        <f>raw!G34</f>
        <v>1616.018786373751</v>
      </c>
      <c r="I10" s="18">
        <f>raw!H34</f>
        <v>1477.8705574498545</v>
      </c>
      <c r="J10" s="18">
        <f>raw!I34</f>
        <v>1470.0406251612394</v>
      </c>
      <c r="K10" s="18">
        <f>raw!J34</f>
        <v>1349.7683944701269</v>
      </c>
      <c r="L10" s="18">
        <f>raw!K34</f>
        <v>1345.4326381344545</v>
      </c>
      <c r="M10" s="18">
        <f>raw!L34</f>
        <v>1598.676530014546</v>
      </c>
      <c r="N10" s="91">
        <f>raw!M34</f>
        <v>1533.0298432011077</v>
      </c>
      <c r="O10" s="18">
        <f>raw!O34</f>
        <v>1658.16203305421</v>
      </c>
      <c r="P10" s="18">
        <f>raw!P34</f>
        <v>1356.9527457802958</v>
      </c>
      <c r="Q10" s="18">
        <f>raw!Q34</f>
        <v>1640.1840468399319</v>
      </c>
      <c r="R10" s="18">
        <f>raw!R34</f>
        <v>1588.2350839574949</v>
      </c>
      <c r="S10" s="18">
        <f>raw!S34</f>
        <v>1601.455290531934</v>
      </c>
      <c r="T10" s="18">
        <f>raw!T34</f>
        <v>1761.2851465780402</v>
      </c>
      <c r="U10" s="18">
        <f>raw!U34</f>
        <v>1691.2152622023302</v>
      </c>
      <c r="V10" s="18">
        <f>raw!V34</f>
        <v>1798.288207824002</v>
      </c>
      <c r="W10" s="18">
        <f>raw!W34</f>
        <v>1686.4044807017469</v>
      </c>
      <c r="X10" s="18">
        <f>raw!X34</f>
        <v>1704.8238500193811</v>
      </c>
      <c r="Y10" s="18">
        <f>raw!Y34</f>
        <v>2032.1162649505411</v>
      </c>
      <c r="Z10" s="18">
        <f>raw!Z34</f>
        <v>1731.3534577499208</v>
      </c>
      <c r="AB10" s="18">
        <f>raw!AB34</f>
        <v>1781.36365576</v>
      </c>
      <c r="AC10" s="18">
        <f>raw!AC34</f>
        <v>1668.8928625199999</v>
      </c>
      <c r="AD10" s="18">
        <f>raw!AD34</f>
        <v>1699.30144967</v>
      </c>
      <c r="AE10" s="18">
        <f>raw!AE34</f>
        <v>1630.7074920799998</v>
      </c>
      <c r="AF10" s="18">
        <f>raw!AF34</f>
        <v>1691.6897090499999</v>
      </c>
      <c r="AG10" s="18">
        <f>raw!AG34</f>
        <v>1846.0868567800001</v>
      </c>
      <c r="AH10" s="18">
        <f>raw!AH34</f>
        <v>1733.4937008099998</v>
      </c>
      <c r="AI10" s="18">
        <f>raw!AI34</f>
        <v>1725.4035397600003</v>
      </c>
      <c r="AJ10" s="18">
        <f>raw!AJ34</f>
        <v>1665.11679598</v>
      </c>
      <c r="AK10" s="18">
        <f>raw!AK34</f>
        <v>1607.5062628987503</v>
      </c>
      <c r="AL10" s="18">
        <f>raw!AL34</f>
        <v>2231.4726118074723</v>
      </c>
      <c r="AM10" s="18">
        <f>raw!AM34</f>
        <v>2169.0488130166996</v>
      </c>
      <c r="AO10" s="18">
        <f>raw!AO34</f>
        <v>2061.9758667050896</v>
      </c>
      <c r="AP10" s="18">
        <f>raw!AP34</f>
        <v>1776.3402778229774</v>
      </c>
      <c r="AQ10" s="18">
        <f>raw!AQ34</f>
        <v>2094.4303055530677</v>
      </c>
      <c r="AR10" s="18">
        <f>raw!AR34</f>
        <v>1989.4219952585415</v>
      </c>
      <c r="AS10" s="18">
        <f>raw!AS34</f>
        <v>2043.5706887158929</v>
      </c>
      <c r="AT10" s="18">
        <f>raw!AT34</f>
        <v>0</v>
      </c>
      <c r="AU10" s="18">
        <f>raw!AU34</f>
        <v>0</v>
      </c>
      <c r="AV10" s="18">
        <f>raw!AV34</f>
        <v>0</v>
      </c>
      <c r="AW10" s="18">
        <f>raw!AW34</f>
        <v>0</v>
      </c>
      <c r="AX10" s="18">
        <f>raw!AX34</f>
        <v>0</v>
      </c>
      <c r="AY10" s="18">
        <f>raw!AY34</f>
        <v>0</v>
      </c>
      <c r="AZ10" s="18">
        <f>raw!AZ34</f>
        <v>0</v>
      </c>
    </row>
    <row r="11" spans="1:52">
      <c r="A11" s="15" t="s">
        <v>11</v>
      </c>
      <c r="B11" s="21"/>
      <c r="C11" s="98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1"/>
      <c r="O11" s="23">
        <f t="shared" ref="O11:Z11" si="82">(O10-C10)/C10</f>
        <v>0.16645409549794241</v>
      </c>
      <c r="P11" s="30">
        <f t="shared" si="82"/>
        <v>-1.3884477180858648E-2</v>
      </c>
      <c r="Q11" s="30">
        <f t="shared" si="82"/>
        <v>9.9323504119699854E-2</v>
      </c>
      <c r="R11" s="30">
        <f t="shared" si="82"/>
        <v>0.14740560803723718</v>
      </c>
      <c r="S11" s="30">
        <f t="shared" si="82"/>
        <v>8.2008597867911495E-2</v>
      </c>
      <c r="T11" s="30">
        <f t="shared" si="82"/>
        <v>8.9891504621835594E-2</v>
      </c>
      <c r="U11" s="30">
        <f t="shared" si="82"/>
        <v>0.14435953384213404</v>
      </c>
      <c r="V11" s="30">
        <f t="shared" si="82"/>
        <v>0.2232915043601324</v>
      </c>
      <c r="W11" s="30">
        <f t="shared" si="82"/>
        <v>0.24940285134159773</v>
      </c>
      <c r="X11" s="30">
        <f t="shared" si="82"/>
        <v>0.26711943927809728</v>
      </c>
      <c r="Y11" s="30">
        <f t="shared" si="82"/>
        <v>0.27112409971518842</v>
      </c>
      <c r="Z11" s="30">
        <f t="shared" si="82"/>
        <v>0.12936709316414552</v>
      </c>
      <c r="AB11" s="23">
        <f t="shared" ref="AB11" si="83">(AB10-P10)/P10</f>
        <v>0.31276764154057035</v>
      </c>
      <c r="AC11" s="30">
        <f t="shared" ref="AC11" si="84">(AC10-Q10)/Q10</f>
        <v>1.7503411117416975E-2</v>
      </c>
      <c r="AD11" s="30">
        <f t="shared" ref="AD11" si="85">(AD10-R10)/R10</f>
        <v>6.993068396131559E-2</v>
      </c>
      <c r="AE11" s="30">
        <f t="shared" ref="AE11" si="86">(AE10-S10)/S10</f>
        <v>1.8266011996094834E-2</v>
      </c>
      <c r="AF11" s="30">
        <f t="shared" ref="AF11" si="87">(AF10-T10)/T10</f>
        <v>-3.951400922403487E-2</v>
      </c>
      <c r="AG11" s="30">
        <f t="shared" ref="AG11" si="88">(AG10-U10)/U10</f>
        <v>9.1574146732801676E-2</v>
      </c>
      <c r="AH11" s="30">
        <f t="shared" ref="AH11" si="89">(AH10-V10)/V10</f>
        <v>-3.6031213868885921E-2</v>
      </c>
      <c r="AI11" s="30">
        <f t="shared" ref="AI11" si="90">(AI10-W10)/W10</f>
        <v>2.3125566555672963E-2</v>
      </c>
      <c r="AJ11" s="30">
        <f t="shared" ref="AJ11" si="91">(AJ10-X10)/X10</f>
        <v>-2.3291001025665899E-2</v>
      </c>
      <c r="AK11" s="30">
        <f t="shared" ref="AK11" si="92">(AK10-Y10)/Y10</f>
        <v>-0.20894965970961571</v>
      </c>
      <c r="AL11" s="30">
        <f t="shared" ref="AL11" si="93">(AL10-Z10)/Z10</f>
        <v>0.28886022771312669</v>
      </c>
      <c r="AM11" s="30" t="e">
        <f t="shared" ref="AM11" si="94">(AM10-AA10)/AA10</f>
        <v>#DIV/0!</v>
      </c>
      <c r="AO11" s="30">
        <f t="shared" ref="AO11" si="95">(AO10-AC10)/AC10</f>
        <v>0.23553519402769876</v>
      </c>
      <c r="AP11" s="30">
        <f t="shared" ref="AP11" si="96">(AP10-AD10)/AD10</f>
        <v>4.5335586671769255E-2</v>
      </c>
      <c r="AQ11" s="30">
        <f t="shared" ref="AQ11" si="97">(AQ10-AE10)/AE10</f>
        <v>0.28436909484090256</v>
      </c>
      <c r="AR11" s="30">
        <f t="shared" ref="AR11" si="98">(AR10-AF10)/AF10</f>
        <v>0.17599698373511935</v>
      </c>
      <c r="AS11" s="30">
        <f t="shared" ref="AS11" si="99">(AS10-AG10)/AG10</f>
        <v>0.10697429062484633</v>
      </c>
      <c r="AT11" s="30">
        <f t="shared" ref="AT11" si="100">(AT10-AH10)/AH10</f>
        <v>-1</v>
      </c>
      <c r="AU11" s="30">
        <f t="shared" ref="AU11" si="101">(AU10-AI10)/AI10</f>
        <v>-1</v>
      </c>
      <c r="AV11" s="30">
        <f t="shared" ref="AV11" si="102">(AV10-AJ10)/AJ10</f>
        <v>-1</v>
      </c>
      <c r="AW11" s="30">
        <f t="shared" ref="AW11" si="103">(AW10-AK10)/AK10</f>
        <v>-1</v>
      </c>
      <c r="AX11" s="30">
        <f t="shared" ref="AX11" si="104">(AX10-AL10)/AL10</f>
        <v>-1</v>
      </c>
      <c r="AY11" s="30">
        <f t="shared" ref="AY11" si="105">(AY10-AM10)/AM10</f>
        <v>-1</v>
      </c>
      <c r="AZ11" s="30" t="e">
        <f t="shared" ref="AZ11" si="106">(AZ10-AN10)/AN10</f>
        <v>#DIV/0!</v>
      </c>
    </row>
    <row r="12" spans="1:52">
      <c r="A12" s="15" t="s">
        <v>13</v>
      </c>
      <c r="B12" s="21"/>
      <c r="C12" s="98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01"/>
      <c r="O12" s="23">
        <f t="shared" ref="O12:Y12" si="107">(O10-N10)/N10</f>
        <v>8.1624105628508026E-2</v>
      </c>
      <c r="P12" s="23">
        <f t="shared" si="107"/>
        <v>-0.18165250516507686</v>
      </c>
      <c r="Q12" s="23">
        <f t="shared" si="107"/>
        <v>0.20872598691472344</v>
      </c>
      <c r="R12" s="23">
        <f t="shared" si="107"/>
        <v>-3.1672642458951274E-2</v>
      </c>
      <c r="S12" s="23">
        <f t="shared" si="107"/>
        <v>8.3238348705265697E-3</v>
      </c>
      <c r="T12" s="23">
        <f t="shared" si="107"/>
        <v>9.9802883659035946E-2</v>
      </c>
      <c r="U12" s="23">
        <f t="shared" si="107"/>
        <v>-3.9783384599505159E-2</v>
      </c>
      <c r="V12" s="23">
        <f t="shared" si="107"/>
        <v>6.3311246069432656E-2</v>
      </c>
      <c r="W12" s="23">
        <f t="shared" si="107"/>
        <v>-6.2216794079764728E-2</v>
      </c>
      <c r="X12" s="23">
        <f t="shared" si="107"/>
        <v>1.0922272520273127E-2</v>
      </c>
      <c r="Y12" s="23">
        <f t="shared" si="107"/>
        <v>0.19198019486144521</v>
      </c>
      <c r="Z12" s="23">
        <f>(Z10-Y10)/Y10</f>
        <v>-0.14800472413321314</v>
      </c>
      <c r="AB12" s="23">
        <f>(AB10-Z10)/Z10</f>
        <v>2.8885030833087542E-2</v>
      </c>
      <c r="AC12" s="23">
        <f t="shared" ref="AC12" si="108">(AC10-AB10)/AB10</f>
        <v>-6.3137469363051341E-2</v>
      </c>
      <c r="AD12" s="23">
        <f t="shared" ref="AD12" si="109">(AD10-AC10)/AC10</f>
        <v>1.8220814429084249E-2</v>
      </c>
      <c r="AE12" s="23">
        <f t="shared" ref="AE12" si="110">(AE10-AD10)/AD10</f>
        <v>-4.03659736789614E-2</v>
      </c>
      <c r="AF12" s="23">
        <f t="shared" ref="AF12" si="111">(AF10-AE10)/AE10</f>
        <v>3.7396171456976657E-2</v>
      </c>
      <c r="AG12" s="23">
        <f t="shared" ref="AG12" si="112">(AG10-AF10)/AF10</f>
        <v>9.1268006717795044E-2</v>
      </c>
      <c r="AH12" s="23">
        <f t="shared" ref="AH12" si="113">(AH10-AG10)/AG10</f>
        <v>-6.0990172567713621E-2</v>
      </c>
      <c r="AI12" s="23">
        <f t="shared" ref="AI12" si="114">(AI10-AH10)/AH10</f>
        <v>-4.6669688192228836E-3</v>
      </c>
      <c r="AJ12" s="23">
        <f t="shared" ref="AJ12" si="115">(AJ10-AI10)/AI10</f>
        <v>-3.4940663091711302E-2</v>
      </c>
      <c r="AK12" s="23">
        <f t="shared" ref="AK12" si="116">(AK10-AJ10)/AJ10</f>
        <v>-3.4598493763521983E-2</v>
      </c>
      <c r="AL12" s="23">
        <f t="shared" ref="AL12" si="117">(AL10-AK10)/AK10</f>
        <v>0.3881579582673283</v>
      </c>
      <c r="AM12" s="23">
        <f>(AM10-AL10)/AL10</f>
        <v>-2.7974261687312398E-2</v>
      </c>
      <c r="AO12" s="23">
        <f>(AO10-AM10)/AM10</f>
        <v>-4.9364009546052377E-2</v>
      </c>
      <c r="AP12" s="23">
        <f t="shared" ref="AP12" si="118">(AP10-AO10)/AO10</f>
        <v>-0.13852518523339474</v>
      </c>
      <c r="AQ12" s="23">
        <f t="shared" ref="AQ12" si="119">(AQ10-AP10)/AP10</f>
        <v>0.17907043582884391</v>
      </c>
      <c r="AR12" s="23">
        <f t="shared" ref="AR12" si="120">(AR10-AQ10)/AQ10</f>
        <v>-5.0136932232174247E-2</v>
      </c>
      <c r="AS12" s="23">
        <f t="shared" ref="AS12" si="121">(AS10-AR10)/AR10</f>
        <v>2.7218304405202006E-2</v>
      </c>
      <c r="AT12" s="23">
        <f t="shared" ref="AT12" si="122">(AT10-AS10)/AS10</f>
        <v>-1</v>
      </c>
      <c r="AU12" s="23" t="e">
        <f t="shared" ref="AU12" si="123">(AU10-AT10)/AT10</f>
        <v>#DIV/0!</v>
      </c>
      <c r="AV12" s="23" t="e">
        <f t="shared" ref="AV12" si="124">(AV10-AU10)/AU10</f>
        <v>#DIV/0!</v>
      </c>
      <c r="AW12" s="23" t="e">
        <f t="shared" ref="AW12" si="125">(AW10-AV10)/AV10</f>
        <v>#DIV/0!</v>
      </c>
      <c r="AX12" s="23" t="e">
        <f t="shared" ref="AX12" si="126">(AX10-AW10)/AW10</f>
        <v>#DIV/0!</v>
      </c>
      <c r="AY12" s="23" t="e">
        <f t="shared" ref="AY12" si="127">(AY10-AX10)/AX10</f>
        <v>#DIV/0!</v>
      </c>
      <c r="AZ12" s="23" t="e">
        <f>(AZ10-AY10)/AY10</f>
        <v>#DIV/0!</v>
      </c>
    </row>
    <row r="13" spans="1:52">
      <c r="A13" s="17" t="s">
        <v>5</v>
      </c>
      <c r="B13" s="20" t="s">
        <v>15</v>
      </c>
      <c r="C13" s="90">
        <f>raw!B35</f>
        <v>1299.9049425547585</v>
      </c>
      <c r="D13" s="18">
        <f>raw!C35</f>
        <v>1339.4022509656781</v>
      </c>
      <c r="E13" s="18">
        <f>raw!D35</f>
        <v>1421.3759954576276</v>
      </c>
      <c r="F13" s="18">
        <f>raw!E35</f>
        <v>1340.0057987758514</v>
      </c>
      <c r="G13" s="18">
        <f>raw!F35</f>
        <v>1399.1265754883877</v>
      </c>
      <c r="H13" s="18">
        <f>raw!G35</f>
        <v>1605.5318548507064</v>
      </c>
      <c r="I13" s="18">
        <f>raw!H35</f>
        <v>1438.1464860082228</v>
      </c>
      <c r="J13" s="18">
        <f>raw!I35</f>
        <v>1408.7778327815297</v>
      </c>
      <c r="K13" s="18">
        <f>raw!J35</f>
        <v>1286.1521887809859</v>
      </c>
      <c r="L13" s="18">
        <f>raw!K35</f>
        <v>1262.3764565896131</v>
      </c>
      <c r="M13" s="18">
        <f>raw!L35</f>
        <v>1493.3648144051799</v>
      </c>
      <c r="N13" s="91">
        <f>raw!M35</f>
        <v>2177.1992888846762</v>
      </c>
      <c r="O13" s="18">
        <f>raw!O35</f>
        <v>1566.2901067233699</v>
      </c>
      <c r="P13" s="18">
        <f>raw!P35</f>
        <v>1259.4209372976484</v>
      </c>
      <c r="Q13" s="18">
        <f>raw!Q35</f>
        <v>1496.0922502976041</v>
      </c>
      <c r="R13" s="18">
        <f>raw!R35</f>
        <v>1490.0255213875189</v>
      </c>
      <c r="S13" s="18">
        <f>raw!S35</f>
        <v>1449.342648082752</v>
      </c>
      <c r="T13" s="18">
        <f>raw!T35</f>
        <v>1619.379672085287</v>
      </c>
      <c r="U13" s="18">
        <f>raw!U35</f>
        <v>2472.4765682375887</v>
      </c>
      <c r="V13" s="18">
        <f>raw!V35</f>
        <v>1599.7770772182841</v>
      </c>
      <c r="W13" s="18">
        <f>raw!W35</f>
        <v>1607.6303730820005</v>
      </c>
      <c r="X13" s="18">
        <f>raw!X35</f>
        <v>1637.6719434676802</v>
      </c>
      <c r="Y13" s="18">
        <f>raw!Y35</f>
        <v>1984.688277855264</v>
      </c>
      <c r="Z13" s="18">
        <f>raw!Z35</f>
        <v>1349.244904872264</v>
      </c>
      <c r="AB13" s="18">
        <f>raw!AB35</f>
        <v>1640.55296686936</v>
      </c>
      <c r="AC13" s="18">
        <f>raw!AC35</f>
        <v>1560.4297448399911</v>
      </c>
      <c r="AD13" s="18">
        <f>raw!AD35</f>
        <v>1709.826235036586</v>
      </c>
      <c r="AE13" s="18">
        <f>raw!AE35</f>
        <v>1445.6730571882629</v>
      </c>
      <c r="AF13" s="18">
        <f>raw!AF35</f>
        <v>1413.185479348635</v>
      </c>
      <c r="AG13" s="18">
        <f>raw!AG35</f>
        <v>1694.840251879057</v>
      </c>
      <c r="AH13" s="18">
        <f>raw!AH35</f>
        <v>1643.4935641498309</v>
      </c>
      <c r="AI13" s="18">
        <f>raw!AI35</f>
        <v>1689.5503364088274</v>
      </c>
      <c r="AJ13" s="18">
        <f>raw!AJ35</f>
        <v>1559.8871181174468</v>
      </c>
      <c r="AK13" s="18">
        <f>raw!AK35</f>
        <v>1525.1875373453383</v>
      </c>
      <c r="AL13" s="18">
        <f>raw!AL35</f>
        <v>2114.7972052509549</v>
      </c>
      <c r="AM13" s="18">
        <f>raw!AM35</f>
        <v>1945.4287826169489</v>
      </c>
      <c r="AO13" s="18">
        <f>raw!AO35</f>
        <v>1964.9514656024783</v>
      </c>
      <c r="AP13" s="18">
        <f>raw!AP35</f>
        <v>1664.0096952213335</v>
      </c>
      <c r="AQ13" s="18">
        <f>raw!AQ35</f>
        <v>2039.9491334972147</v>
      </c>
      <c r="AR13" s="18">
        <f>raw!AR35</f>
        <v>1917.3062418036873</v>
      </c>
      <c r="AS13" s="18">
        <f>raw!AS35</f>
        <v>1968.8559747866409</v>
      </c>
      <c r="AT13" s="18">
        <f>raw!AT35</f>
        <v>0</v>
      </c>
      <c r="AU13" s="18">
        <f>raw!AU35</f>
        <v>0</v>
      </c>
      <c r="AV13" s="18">
        <f>raw!AV35</f>
        <v>0</v>
      </c>
      <c r="AW13" s="18">
        <f>raw!AW35</f>
        <v>0</v>
      </c>
      <c r="AX13" s="18">
        <f>raw!AX35</f>
        <v>0</v>
      </c>
      <c r="AY13" s="18">
        <f>raw!AY35</f>
        <v>0</v>
      </c>
      <c r="AZ13" s="18">
        <f>raw!AZ35</f>
        <v>0</v>
      </c>
    </row>
    <row r="14" spans="1:52">
      <c r="A14" s="15" t="s">
        <v>11</v>
      </c>
      <c r="B14" s="21"/>
      <c r="C14" s="98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01"/>
      <c r="O14" s="23">
        <f t="shared" ref="O14:Z14" si="128">(O13-C13)/C13</f>
        <v>0.20492664920949788</v>
      </c>
      <c r="P14" s="30">
        <f t="shared" si="128"/>
        <v>-5.9714184898797269E-2</v>
      </c>
      <c r="Q14" s="30">
        <f t="shared" si="128"/>
        <v>5.2566143707753261E-2</v>
      </c>
      <c r="R14" s="30">
        <f t="shared" si="128"/>
        <v>0.11195453239733474</v>
      </c>
      <c r="S14" s="30">
        <f t="shared" si="128"/>
        <v>3.5891014776011629E-2</v>
      </c>
      <c r="T14" s="30">
        <f t="shared" si="128"/>
        <v>8.6250653904766383E-3</v>
      </c>
      <c r="U14" s="30">
        <f t="shared" si="128"/>
        <v>0.71921052013296227</v>
      </c>
      <c r="V14" s="30">
        <f t="shared" si="128"/>
        <v>0.13557797403699937</v>
      </c>
      <c r="W14" s="30">
        <f t="shared" si="128"/>
        <v>0.2499534558236933</v>
      </c>
      <c r="X14" s="30">
        <f t="shared" si="128"/>
        <v>0.29729284392070393</v>
      </c>
      <c r="Y14" s="30">
        <f t="shared" si="128"/>
        <v>0.32900431208149394</v>
      </c>
      <c r="Z14" s="30">
        <f t="shared" si="128"/>
        <v>-0.38028415140469396</v>
      </c>
      <c r="AB14" s="23">
        <f t="shared" ref="AB14" si="129">(AB13-P13)/P13</f>
        <v>0.30262481612344028</v>
      </c>
      <c r="AC14" s="30">
        <f t="shared" ref="AC14" si="130">(AC13-Q13)/Q13</f>
        <v>4.3003694811993697E-2</v>
      </c>
      <c r="AD14" s="30">
        <f t="shared" ref="AD14" si="131">(AD13-R13)/R13</f>
        <v>0.14751473078420002</v>
      </c>
      <c r="AE14" s="30">
        <f t="shared" ref="AE14" si="132">(AE13-S13)/S13</f>
        <v>-2.5319001682200049E-3</v>
      </c>
      <c r="AF14" s="30">
        <f t="shared" ref="AF14" si="133">(AF13-T13)/T13</f>
        <v>-0.1273291225590934</v>
      </c>
      <c r="AG14" s="30">
        <f t="shared" ref="AG14" si="134">(AG13-U13)/U13</f>
        <v>-0.31451716321535872</v>
      </c>
      <c r="AH14" s="30">
        <f t="shared" ref="AH14" si="135">(AH13-V13)/V13</f>
        <v>2.7326611659895556E-2</v>
      </c>
      <c r="AI14" s="30">
        <f t="shared" ref="AI14" si="136">(AI13-W13)/W13</f>
        <v>5.0956964174406323E-2</v>
      </c>
      <c r="AJ14" s="30">
        <f t="shared" ref="AJ14" si="137">(AJ13-X13)/X13</f>
        <v>-4.749719604130747E-2</v>
      </c>
      <c r="AK14" s="30">
        <f t="shared" ref="AK14" si="138">(AK13-Y13)/Y13</f>
        <v>-0.23152287723817319</v>
      </c>
      <c r="AL14" s="30">
        <f t="shared" ref="AL14" si="139">(AL13-Z13)/Z13</f>
        <v>0.56739313790565504</v>
      </c>
      <c r="AM14" s="30" t="e">
        <f t="shared" ref="AM14" si="140">(AM13-AA13)/AA13</f>
        <v>#DIV/0!</v>
      </c>
      <c r="AO14" s="30">
        <f t="shared" ref="AO14" si="141">(AO13-AC13)/AC13</f>
        <v>0.25923738130483243</v>
      </c>
      <c r="AP14" s="30">
        <f t="shared" ref="AP14" si="142">(AP13-AD13)/AD13</f>
        <v>-2.6796021067177152E-2</v>
      </c>
      <c r="AQ14" s="30">
        <f t="shared" ref="AQ14" si="143">(AQ13-AE13)/AE13</f>
        <v>0.41107224994894692</v>
      </c>
      <c r="AR14" s="30">
        <f t="shared" ref="AR14" si="144">(AR13-AF13)/AF13</f>
        <v>0.35672653718987507</v>
      </c>
      <c r="AS14" s="30">
        <f t="shared" ref="AS14" si="145">(AS13-AG13)/AG13</f>
        <v>0.1616764309224924</v>
      </c>
      <c r="AT14" s="30">
        <f t="shared" ref="AT14" si="146">(AT13-AH13)/AH13</f>
        <v>-1</v>
      </c>
      <c r="AU14" s="30">
        <f t="shared" ref="AU14" si="147">(AU13-AI13)/AI13</f>
        <v>-1</v>
      </c>
      <c r="AV14" s="30">
        <f t="shared" ref="AV14" si="148">(AV13-AJ13)/AJ13</f>
        <v>-1</v>
      </c>
      <c r="AW14" s="30">
        <f t="shared" ref="AW14" si="149">(AW13-AK13)/AK13</f>
        <v>-1</v>
      </c>
      <c r="AX14" s="30">
        <f t="shared" ref="AX14" si="150">(AX13-AL13)/AL13</f>
        <v>-1</v>
      </c>
      <c r="AY14" s="30">
        <f t="shared" ref="AY14" si="151">(AY13-AM13)/AM13</f>
        <v>-1</v>
      </c>
      <c r="AZ14" s="30" t="e">
        <f t="shared" ref="AZ14" si="152">(AZ13-AN13)/AN13</f>
        <v>#DIV/0!</v>
      </c>
    </row>
    <row r="15" spans="1:52">
      <c r="A15" s="15" t="s">
        <v>13</v>
      </c>
      <c r="B15" s="21"/>
      <c r="C15" s="98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1"/>
      <c r="O15" s="23">
        <f t="shared" ref="O15:Z15" si="153">(O13-N13)/N13</f>
        <v>-0.28059405736544196</v>
      </c>
      <c r="P15" s="23">
        <f t="shared" si="153"/>
        <v>-0.1959210290025277</v>
      </c>
      <c r="Q15" s="23">
        <f t="shared" si="153"/>
        <v>0.18792073880221782</v>
      </c>
      <c r="R15" s="23">
        <f t="shared" si="153"/>
        <v>-4.0550500203970739E-3</v>
      </c>
      <c r="S15" s="23">
        <f t="shared" si="153"/>
        <v>-2.7303474149142616E-2</v>
      </c>
      <c r="T15" s="23">
        <f t="shared" si="153"/>
        <v>0.11732009972070213</v>
      </c>
      <c r="U15" s="23">
        <f t="shared" si="153"/>
        <v>0.52680474558122781</v>
      </c>
      <c r="V15" s="23">
        <f t="shared" si="153"/>
        <v>-0.35296572765556089</v>
      </c>
      <c r="W15" s="23">
        <f t="shared" si="153"/>
        <v>4.9089938689281243E-3</v>
      </c>
      <c r="X15" s="23">
        <f t="shared" si="153"/>
        <v>1.8686864150300176E-2</v>
      </c>
      <c r="Y15" s="23">
        <f t="shared" si="153"/>
        <v>0.21189612228001892</v>
      </c>
      <c r="Z15" s="23">
        <f t="shared" si="153"/>
        <v>-0.32017288562296864</v>
      </c>
      <c r="AB15" s="23">
        <f>(AB13-Z13)/Z13</f>
        <v>0.21590451143832545</v>
      </c>
      <c r="AC15" s="23">
        <f t="shared" ref="AC15" si="154">(AC13-AB13)/AB13</f>
        <v>-4.8839155850156246E-2</v>
      </c>
      <c r="AD15" s="23">
        <f t="shared" ref="AD15" si="155">(AD13-AC13)/AC13</f>
        <v>9.5740606516004481E-2</v>
      </c>
      <c r="AE15" s="23">
        <f t="shared" ref="AE15" si="156">(AE13-AD13)/AD13</f>
        <v>-0.15449124152821933</v>
      </c>
      <c r="AF15" s="23">
        <f t="shared" ref="AF15" si="157">(AF13-AE13)/AE13</f>
        <v>-2.2472285609869521E-2</v>
      </c>
      <c r="AG15" s="23">
        <f t="shared" ref="AG15" si="158">(AG13-AF13)/AF13</f>
        <v>0.19930488718313338</v>
      </c>
      <c r="AH15" s="23">
        <f t="shared" ref="AH15" si="159">(AH13-AG13)/AG13</f>
        <v>-3.0295886395368714E-2</v>
      </c>
      <c r="AI15" s="23">
        <f t="shared" ref="AI15" si="160">(AI13-AH13)/AH13</f>
        <v>2.8023701013287126E-2</v>
      </c>
      <c r="AJ15" s="23">
        <f t="shared" ref="AJ15" si="161">(AJ13-AI13)/AI13</f>
        <v>-7.6744217379745183E-2</v>
      </c>
      <c r="AK15" s="23">
        <f t="shared" ref="AK15" si="162">(AK13-AJ13)/AJ13</f>
        <v>-2.2244930654973107E-2</v>
      </c>
      <c r="AL15" s="23">
        <f t="shared" ref="AL15" si="163">(AL13-AK13)/AK13</f>
        <v>0.3865817504199256</v>
      </c>
      <c r="AM15" s="23">
        <f t="shared" ref="AM15" si="164">(AM13-AL13)/AL13</f>
        <v>-8.0087311546218801E-2</v>
      </c>
      <c r="AO15" s="23">
        <f>(AO13-AM13)/AM13</f>
        <v>1.0035156855892667E-2</v>
      </c>
      <c r="AP15" s="23">
        <f t="shared" ref="AP15" si="165">(AP13-AO13)/AO13</f>
        <v>-0.15315481102169226</v>
      </c>
      <c r="AQ15" s="23">
        <f t="shared" ref="AQ15" si="166">(AQ13-AP13)/AP13</f>
        <v>0.22592382685960055</v>
      </c>
      <c r="AR15" s="23">
        <f t="shared" ref="AR15" si="167">(AR13-AQ13)/AQ13</f>
        <v>-6.0120563635463253E-2</v>
      </c>
      <c r="AS15" s="23">
        <f t="shared" ref="AS15" si="168">(AS13-AR13)/AR13</f>
        <v>2.6886541053795725E-2</v>
      </c>
      <c r="AT15" s="23">
        <f t="shared" ref="AT15" si="169">(AT13-AS13)/AS13</f>
        <v>-1</v>
      </c>
      <c r="AU15" s="23" t="e">
        <f t="shared" ref="AU15" si="170">(AU13-AT13)/AT13</f>
        <v>#DIV/0!</v>
      </c>
      <c r="AV15" s="23" t="e">
        <f t="shared" ref="AV15" si="171">(AV13-AU13)/AU13</f>
        <v>#DIV/0!</v>
      </c>
      <c r="AW15" s="23" t="e">
        <f t="shared" ref="AW15" si="172">(AW13-AV13)/AV13</f>
        <v>#DIV/0!</v>
      </c>
      <c r="AX15" s="23" t="e">
        <f t="shared" ref="AX15" si="173">(AX13-AW13)/AW13</f>
        <v>#DIV/0!</v>
      </c>
      <c r="AY15" s="23" t="e">
        <f t="shared" ref="AY15" si="174">(AY13-AX13)/AX13</f>
        <v>#DIV/0!</v>
      </c>
      <c r="AZ15" s="23" t="e">
        <f t="shared" ref="AZ15" si="175">(AZ13-AY13)/AY13</f>
        <v>#DIV/0!</v>
      </c>
    </row>
    <row r="16" spans="1:52">
      <c r="A16" s="17" t="s">
        <v>6</v>
      </c>
      <c r="B16" s="20" t="s">
        <v>16</v>
      </c>
      <c r="C16" s="92">
        <f>raw!B36</f>
        <v>8.7742609360527316E-2</v>
      </c>
      <c r="D16" s="22">
        <f>raw!C36</f>
        <v>9.7514027107519399E-2</v>
      </c>
      <c r="E16" s="22">
        <f>raw!D36</f>
        <v>9.8263960074035678E-2</v>
      </c>
      <c r="F16" s="22">
        <f>raw!E36</f>
        <v>9.7911288817690567E-2</v>
      </c>
      <c r="G16" s="22">
        <f>raw!F36</f>
        <v>9.4683740502118946E-2</v>
      </c>
      <c r="H16" s="22">
        <f>raw!G36</f>
        <v>0.10644249676044892</v>
      </c>
      <c r="I16" s="22">
        <f>raw!H36</f>
        <v>0.10074748206180857</v>
      </c>
      <c r="J16" s="22">
        <f>raw!I36</f>
        <v>9.6745269342339762E-2</v>
      </c>
      <c r="K16" s="22">
        <f>raw!J36</f>
        <v>8.9623799952129615E-2</v>
      </c>
      <c r="L16" s="22">
        <f>raw!K36</f>
        <v>8.5194725352006062E-2</v>
      </c>
      <c r="M16" s="22">
        <f>raw!L36</f>
        <v>6.8816478596564104E-2</v>
      </c>
      <c r="N16" s="93">
        <f>raw!M36</f>
        <v>0.12746406636859631</v>
      </c>
      <c r="O16" s="22">
        <f>raw!O36</f>
        <v>9.2359746938962553E-2</v>
      </c>
      <c r="P16" s="22">
        <f>raw!P36</f>
        <v>8.259625662994477E-2</v>
      </c>
      <c r="Q16" s="22">
        <f>raw!Q36</f>
        <v>9.3097682611557153E-2</v>
      </c>
      <c r="R16" s="22">
        <f>raw!R36</f>
        <v>9.9052546234660033E-2</v>
      </c>
      <c r="S16" s="22">
        <f>raw!S36</f>
        <v>9.0403407462208818E-2</v>
      </c>
      <c r="T16" s="22">
        <f>raw!T36</f>
        <v>9.7148189442305535E-2</v>
      </c>
      <c r="U16" s="22">
        <f>raw!U36</f>
        <v>0.15981743327422401</v>
      </c>
      <c r="V16" s="22">
        <f>raw!V36</f>
        <v>0.10113770765608056</v>
      </c>
      <c r="W16" s="22">
        <f>raw!W36</f>
        <v>0.1010257482370675</v>
      </c>
      <c r="X16" s="22">
        <f>raw!X36</f>
        <v>0.10280445127822206</v>
      </c>
      <c r="Y16" s="22">
        <f>raw!Y36</f>
        <v>8.6046278047258035E-2</v>
      </c>
      <c r="Z16" s="22">
        <f>raw!Z36</f>
        <v>7.8643223786810074E-2</v>
      </c>
      <c r="AB16" s="22">
        <f>raw!AB36</f>
        <v>9.9657473080605671E-2</v>
      </c>
      <c r="AC16" s="22">
        <f>raw!AC36</f>
        <v>0.10049094938468217</v>
      </c>
      <c r="AD16" s="22">
        <f>raw!AD36</f>
        <v>0.10569244430370199</v>
      </c>
      <c r="AE16" s="22">
        <f>raw!AE36</f>
        <v>9.3915694208405051E-2</v>
      </c>
      <c r="AF16" s="22">
        <f>raw!AF36</f>
        <v>8.931192855217987E-2</v>
      </c>
      <c r="AG16" s="22">
        <f>raw!AG36</f>
        <v>0.10426785571365435</v>
      </c>
      <c r="AH16" s="22">
        <f>raw!AH36</f>
        <v>0.10889321679680768</v>
      </c>
      <c r="AI16" s="22">
        <f>raw!AI36</f>
        <v>0.10922777701659837</v>
      </c>
      <c r="AJ16" s="22">
        <f>raw!AJ36</f>
        <v>9.8858676979627247E-2</v>
      </c>
      <c r="AK16" s="22">
        <f>raw!AK36</f>
        <v>9.7612234435680165E-2</v>
      </c>
      <c r="AL16" s="22">
        <f>raw!AL36</f>
        <v>9.1501615314737272E-2</v>
      </c>
      <c r="AM16" s="22">
        <f>raw!AM36</f>
        <v>0.10778407041269576</v>
      </c>
      <c r="AO16" s="22">
        <f>raw!AO36</f>
        <v>0.11460477917967524</v>
      </c>
      <c r="AP16" s="22">
        <f>raw!AP36</f>
        <v>0.10719257084279898</v>
      </c>
      <c r="AQ16" s="22">
        <f>raw!AQ36</f>
        <v>0.11923049504203174</v>
      </c>
      <c r="AR16" s="22">
        <f>raw!AR36</f>
        <v>0.12236064622985438</v>
      </c>
      <c r="AS16" s="22">
        <f>raw!AS36</f>
        <v>0.11975512184926632</v>
      </c>
      <c r="AT16" s="22">
        <f>raw!AT36</f>
        <v>0</v>
      </c>
      <c r="AU16" s="22">
        <f>raw!AU36</f>
        <v>0</v>
      </c>
      <c r="AV16" s="22">
        <f>raw!AV36</f>
        <v>0</v>
      </c>
      <c r="AW16" s="22">
        <f>raw!AW36</f>
        <v>0</v>
      </c>
      <c r="AX16" s="22">
        <f>raw!AX36</f>
        <v>0</v>
      </c>
      <c r="AY16" s="22">
        <f>raw!AY36</f>
        <v>0</v>
      </c>
      <c r="AZ16" s="22">
        <f>raw!AZ36</f>
        <v>0</v>
      </c>
    </row>
    <row r="17" spans="1:52">
      <c r="A17" s="15" t="s">
        <v>11</v>
      </c>
      <c r="B17" s="21"/>
      <c r="C17" s="89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104"/>
      <c r="O17" s="23">
        <f t="shared" ref="O17:Z17" si="176">(O16-C16)/C16</f>
        <v>5.2621384434372032E-2</v>
      </c>
      <c r="P17" s="30">
        <f t="shared" si="176"/>
        <v>-0.15298076512752601</v>
      </c>
      <c r="Q17" s="30">
        <f t="shared" si="176"/>
        <v>-5.2575506407293797E-2</v>
      </c>
      <c r="R17" s="30">
        <f t="shared" si="176"/>
        <v>1.1656035077778118E-2</v>
      </c>
      <c r="S17" s="30">
        <f t="shared" si="176"/>
        <v>-4.5206632281435247E-2</v>
      </c>
      <c r="T17" s="30">
        <f t="shared" si="176"/>
        <v>-8.7317637231494313E-2</v>
      </c>
      <c r="U17" s="30">
        <f t="shared" si="176"/>
        <v>0.58631689848264423</v>
      </c>
      <c r="V17" s="30">
        <f t="shared" si="176"/>
        <v>4.5402099178594994E-2</v>
      </c>
      <c r="W17" s="30">
        <f t="shared" si="176"/>
        <v>0.12722009433909254</v>
      </c>
      <c r="X17" s="30">
        <f t="shared" si="176"/>
        <v>0.20669972059251843</v>
      </c>
      <c r="Y17" s="30">
        <f t="shared" si="176"/>
        <v>0.25037316355147221</v>
      </c>
      <c r="Z17" s="30">
        <f t="shared" si="176"/>
        <v>-0.38301651573399331</v>
      </c>
      <c r="AB17" s="23">
        <f t="shared" ref="AB17" si="177">(AB16-P16)/P16</f>
        <v>0.20656161848956556</v>
      </c>
      <c r="AC17" s="30">
        <f t="shared" ref="AC17" si="178">(AC16-Q16)/Q16</f>
        <v>7.9414079553116801E-2</v>
      </c>
      <c r="AD17" s="30">
        <f t="shared" ref="AD17" si="179">(AD16-R16)/R16</f>
        <v>6.7034097773839493E-2</v>
      </c>
      <c r="AE17" s="30">
        <f t="shared" ref="AE17" si="180">(AE16-S16)/S16</f>
        <v>3.8851265066136675E-2</v>
      </c>
      <c r="AF17" s="30">
        <f t="shared" ref="AF17" si="181">(AF16-T16)/T16</f>
        <v>-8.0662963819613659E-2</v>
      </c>
      <c r="AG17" s="30">
        <f t="shared" ref="AG17" si="182">(AG16-U16)/U16</f>
        <v>-0.34758146481588448</v>
      </c>
      <c r="AH17" s="30">
        <f t="shared" ref="AH17" si="183">(AH16-V16)/V16</f>
        <v>7.6682666835793611E-2</v>
      </c>
      <c r="AI17" s="30">
        <f t="shared" ref="AI17" si="184">(AI16-W16)/W16</f>
        <v>8.1187508359591168E-2</v>
      </c>
      <c r="AJ17" s="30">
        <f t="shared" ref="AJ17" si="185">(AJ16-X16)/X16</f>
        <v>-3.8381356541812323E-2</v>
      </c>
      <c r="AK17" s="30">
        <f t="shared" ref="AK17" si="186">(AK16-Y16)/Y16</f>
        <v>0.13441553372093465</v>
      </c>
      <c r="AL17" s="30">
        <f t="shared" ref="AL17" si="187">(AL16-Z16)/Z16</f>
        <v>0.16350285388585239</v>
      </c>
      <c r="AM17" s="30" t="e">
        <f t="shared" ref="AM17" si="188">(AM16-AA16)/AA16</f>
        <v>#DIV/0!</v>
      </c>
      <c r="AO17" s="30">
        <f t="shared" ref="AO17" si="189">(AO16-AC16)/AC16</f>
        <v>0.14044876559942657</v>
      </c>
      <c r="AP17" s="30">
        <f t="shared" ref="AP17" si="190">(AP16-AD16)/AD16</f>
        <v>1.4193318632942716E-2</v>
      </c>
      <c r="AQ17" s="30">
        <f t="shared" ref="AQ17" si="191">(AQ16-AE16)/AE16</f>
        <v>0.26954814152202827</v>
      </c>
      <c r="AR17" s="30">
        <f t="shared" ref="AR17" si="192">(AR16-AF16)/AF16</f>
        <v>0.37003699520793598</v>
      </c>
      <c r="AS17" s="30">
        <f t="shared" ref="AS17" si="193">(AS16-AG16)/AG16</f>
        <v>0.14853346728587072</v>
      </c>
      <c r="AT17" s="30">
        <f t="shared" ref="AT17" si="194">(AT16-AH16)/AH16</f>
        <v>-1</v>
      </c>
      <c r="AU17" s="30">
        <f t="shared" ref="AU17" si="195">(AU16-AI16)/AI16</f>
        <v>-1</v>
      </c>
      <c r="AV17" s="30">
        <f t="shared" ref="AV17" si="196">(AV16-AJ16)/AJ16</f>
        <v>-1</v>
      </c>
      <c r="AW17" s="30">
        <f t="shared" ref="AW17" si="197">(AW16-AK16)/AK16</f>
        <v>-1</v>
      </c>
      <c r="AX17" s="30">
        <f t="shared" ref="AX17" si="198">(AX16-AL16)/AL16</f>
        <v>-1</v>
      </c>
      <c r="AY17" s="30">
        <f t="shared" ref="AY17" si="199">(AY16-AM16)/AM16</f>
        <v>-1</v>
      </c>
      <c r="AZ17" s="30" t="e">
        <f t="shared" ref="AZ17" si="200">(AZ16-AN16)/AN16</f>
        <v>#DIV/0!</v>
      </c>
    </row>
    <row r="18" spans="1:52">
      <c r="A18" s="15" t="s">
        <v>13</v>
      </c>
      <c r="B18" s="21"/>
      <c r="C18" s="89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104"/>
      <c r="O18" s="23">
        <f t="shared" ref="O18:Z18" si="201">(O16-N16)/N16</f>
        <v>-0.2754056137525086</v>
      </c>
      <c r="P18" s="23">
        <f t="shared" si="201"/>
        <v>-0.10571153162069777</v>
      </c>
      <c r="Q18" s="23">
        <f t="shared" si="201"/>
        <v>0.12714166973282848</v>
      </c>
      <c r="R18" s="23">
        <f t="shared" si="201"/>
        <v>6.3963607428866795E-2</v>
      </c>
      <c r="S18" s="23">
        <f t="shared" si="201"/>
        <v>-8.7318691959326386E-2</v>
      </c>
      <c r="T18" s="23">
        <f t="shared" si="201"/>
        <v>7.4607607936860429E-2</v>
      </c>
      <c r="U18" s="23">
        <f t="shared" si="201"/>
        <v>0.64508915906391184</v>
      </c>
      <c r="V18" s="23">
        <f t="shared" si="201"/>
        <v>-0.36716723836665166</v>
      </c>
      <c r="W18" s="23">
        <f t="shared" si="201"/>
        <v>-1.106999769005779E-3</v>
      </c>
      <c r="X18" s="23">
        <f t="shared" si="201"/>
        <v>1.7606432738123803E-2</v>
      </c>
      <c r="Y18" s="23">
        <f t="shared" si="201"/>
        <v>-0.1630101909265679</v>
      </c>
      <c r="Z18" s="23">
        <f t="shared" si="201"/>
        <v>-8.603572901063869E-2</v>
      </c>
      <c r="AB18" s="23">
        <f>(AB16-Z16)/Z16</f>
        <v>0.26720991691238472</v>
      </c>
      <c r="AC18" s="23">
        <f t="shared" ref="AC18" si="202">(AC16-AB16)/AB16</f>
        <v>8.3634099712959955E-3</v>
      </c>
      <c r="AD18" s="23">
        <f t="shared" ref="AD18" si="203">(AD16-AC16)/AC16</f>
        <v>5.1760829715205008E-2</v>
      </c>
      <c r="AE18" s="23">
        <f t="shared" ref="AE18" si="204">(AE16-AD16)/AD16</f>
        <v>-0.11142471132048978</v>
      </c>
      <c r="AF18" s="23">
        <f t="shared" ref="AF18" si="205">(AF16-AE16)/AE16</f>
        <v>-4.9020195133830609E-2</v>
      </c>
      <c r="AG18" s="23">
        <f t="shared" ref="AG18" si="206">(AG16-AF16)/AF16</f>
        <v>0.16745721880517433</v>
      </c>
      <c r="AH18" s="23">
        <f t="shared" ref="AH18" si="207">(AH16-AG16)/AG16</f>
        <v>4.4360374072098752E-2</v>
      </c>
      <c r="AI18" s="23">
        <f t="shared" ref="AI18" si="208">(AI16-AH16)/AH16</f>
        <v>3.0723696997121421E-3</v>
      </c>
      <c r="AJ18" s="23">
        <f t="shared" ref="AJ18" si="209">(AJ16-AI16)/AI16</f>
        <v>-9.4930981112940044E-2</v>
      </c>
      <c r="AK18" s="23">
        <f t="shared" ref="AK18" si="210">(AK16-AJ16)/AJ16</f>
        <v>-1.2608327180060771E-2</v>
      </c>
      <c r="AL18" s="23">
        <f t="shared" ref="AL18" si="211">(AL16-AK16)/AK16</f>
        <v>-6.2600955262112915E-2</v>
      </c>
      <c r="AM18" s="23">
        <f t="shared" ref="AM18" si="212">(AM16-AL16)/AL16</f>
        <v>0.17794718751086391</v>
      </c>
      <c r="AO18" s="23">
        <f>(AO16-AM16)/AM16</f>
        <v>6.328123201196223E-2</v>
      </c>
      <c r="AP18" s="23">
        <f t="shared" ref="AP18" si="213">(AP16-AO16)/AO16</f>
        <v>-6.4676258616192001E-2</v>
      </c>
      <c r="AQ18" s="23">
        <f t="shared" ref="AQ18" si="214">(AQ16-AP16)/AP16</f>
        <v>0.11230185174760596</v>
      </c>
      <c r="AR18" s="23">
        <f t="shared" ref="AR18" si="215">(AR16-AQ16)/AQ16</f>
        <v>2.6252941302635481E-2</v>
      </c>
      <c r="AS18" s="23">
        <f t="shared" ref="AS18" si="216">(AS16-AR16)/AR16</f>
        <v>-2.1293810231220775E-2</v>
      </c>
      <c r="AT18" s="23">
        <f t="shared" ref="AT18" si="217">(AT16-AS16)/AS16</f>
        <v>-1</v>
      </c>
      <c r="AU18" s="23" t="e">
        <f t="shared" ref="AU18" si="218">(AU16-AT16)/AT16</f>
        <v>#DIV/0!</v>
      </c>
      <c r="AV18" s="23" t="e">
        <f t="shared" ref="AV18" si="219">(AV16-AU16)/AU16</f>
        <v>#DIV/0!</v>
      </c>
      <c r="AW18" s="23" t="e">
        <f t="shared" ref="AW18" si="220">(AW16-AV16)/AV16</f>
        <v>#DIV/0!</v>
      </c>
      <c r="AX18" s="23" t="e">
        <f t="shared" ref="AX18" si="221">(AX16-AW16)/AW16</f>
        <v>#DIV/0!</v>
      </c>
      <c r="AY18" s="23" t="e">
        <f t="shared" ref="AY18" si="222">(AY16-AX16)/AX16</f>
        <v>#DIV/0!</v>
      </c>
      <c r="AZ18" s="23" t="e">
        <f t="shared" ref="AZ18" si="223">(AZ16-AY16)/AY16</f>
        <v>#DIV/0!</v>
      </c>
    </row>
    <row r="19" spans="1:52">
      <c r="A19" s="17" t="s">
        <v>7</v>
      </c>
      <c r="B19" s="129" t="s">
        <v>88</v>
      </c>
      <c r="C19" s="90">
        <f>raw!B37</f>
        <v>844.98642313664664</v>
      </c>
      <c r="D19" s="18">
        <f>raw!C37</f>
        <v>925.57407000003218</v>
      </c>
      <c r="E19" s="18">
        <f>raw!D37</f>
        <v>944.15380600005449</v>
      </c>
      <c r="F19" s="18">
        <f>raw!E37</f>
        <v>954.92490100003852</v>
      </c>
      <c r="G19" s="18">
        <f>raw!F37</f>
        <v>971.74050399997782</v>
      </c>
      <c r="H19" s="18">
        <f>raw!G37</f>
        <v>1108.6137489999633</v>
      </c>
      <c r="I19" s="18">
        <f>raw!H37</f>
        <v>1010.5130710001699</v>
      </c>
      <c r="J19" s="18">
        <f>raw!I37</f>
        <v>1049.6967429994347</v>
      </c>
      <c r="K19" s="18">
        <f>raw!J37</f>
        <v>877.99823800027275</v>
      </c>
      <c r="L19" s="18">
        <f>raw!K37</f>
        <v>865.73591499999725</v>
      </c>
      <c r="M19" s="18">
        <f>raw!L37</f>
        <v>949.67679400053601</v>
      </c>
      <c r="N19" s="91">
        <f>raw!M37</f>
        <v>1770.4948200002432</v>
      </c>
      <c r="O19" s="18">
        <f>raw!O37</f>
        <v>1055.3977090000496</v>
      </c>
      <c r="P19" s="18">
        <f>raw!P37</f>
        <v>882.42083199999036</v>
      </c>
      <c r="Q19" s="18">
        <f>raw!Q37</f>
        <v>1030.1014340028462</v>
      </c>
      <c r="R19" s="18">
        <f>raw!R37</f>
        <v>1066.9450189969209</v>
      </c>
      <c r="S19" s="18">
        <f>raw!S37</f>
        <v>1031.297651999975</v>
      </c>
      <c r="T19" s="18">
        <f>raw!T37</f>
        <v>1134.358932000355</v>
      </c>
      <c r="U19" s="18">
        <f>raw!U37</f>
        <v>1836.7955140000879</v>
      </c>
      <c r="V19" s="18">
        <f>raw!V37</f>
        <v>1153.2636659996854</v>
      </c>
      <c r="W19" s="18">
        <f>raw!W37</f>
        <v>1174.3657500001436</v>
      </c>
      <c r="X19" s="18">
        <f>raw!X37</f>
        <v>1176.7139150000462</v>
      </c>
      <c r="Y19" s="18">
        <f>raw!Y37</f>
        <v>1325.7904499998908</v>
      </c>
      <c r="Z19" s="18">
        <f>raw!Z37</f>
        <v>949.26533899995206</v>
      </c>
      <c r="AB19" s="18">
        <f>raw!AB37</f>
        <v>1162.2661580002289</v>
      </c>
      <c r="AC19" s="18">
        <f>raw!AC37</f>
        <v>1254.865457999329</v>
      </c>
      <c r="AD19" s="18">
        <f>raw!AD37</f>
        <v>1238.066867000663</v>
      </c>
      <c r="AE19" s="18">
        <f>raw!AE37</f>
        <v>1043.431722999557</v>
      </c>
      <c r="AF19" s="18">
        <f>raw!AF37</f>
        <v>1004.8259840001909</v>
      </c>
      <c r="AG19" s="18">
        <f>raw!AG37</f>
        <v>1240.9328649996</v>
      </c>
      <c r="AH19" s="18">
        <f>raw!AH37</f>
        <v>1203.2302750005272</v>
      </c>
      <c r="AI19" s="18">
        <f>raw!AI37</f>
        <v>1262.8929869994395</v>
      </c>
      <c r="AJ19" s="18">
        <f>raw!AJ37</f>
        <v>1144.5772630005497</v>
      </c>
      <c r="AK19" s="18">
        <f>raw!AK37</f>
        <v>1137.3202419994745</v>
      </c>
      <c r="AL19" s="18">
        <f>raw!AL37</f>
        <v>1422.7779910009551</v>
      </c>
      <c r="AM19" s="18">
        <f>raw!AM37</f>
        <v>1322.2062500008969</v>
      </c>
      <c r="AO19" s="18">
        <f>raw!AO37</f>
        <v>1406.2327070002282</v>
      </c>
      <c r="AP19" s="18">
        <f>raw!AP37</f>
        <v>1240.8602099996615</v>
      </c>
      <c r="AQ19" s="18">
        <f>raw!AQ37</f>
        <v>1499.2274300000358</v>
      </c>
      <c r="AR19" s="18">
        <f>raw!AR37</f>
        <v>1425.7521230004693</v>
      </c>
      <c r="AS19" s="18">
        <f>raw!AS37</f>
        <v>1516.3125629991519</v>
      </c>
      <c r="AT19" s="18">
        <f>raw!AT37</f>
        <v>0</v>
      </c>
      <c r="AU19" s="18">
        <f>raw!AU37</f>
        <v>0</v>
      </c>
      <c r="AV19" s="18">
        <f>raw!AV37</f>
        <v>0</v>
      </c>
      <c r="AW19" s="18">
        <f>raw!AW37</f>
        <v>0</v>
      </c>
      <c r="AX19" s="18">
        <f>raw!AX37</f>
        <v>0</v>
      </c>
      <c r="AY19" s="18">
        <f>raw!AY37</f>
        <v>0</v>
      </c>
      <c r="AZ19" s="18">
        <f>raw!AZ37</f>
        <v>0</v>
      </c>
    </row>
    <row r="20" spans="1:52">
      <c r="A20" s="15" t="s">
        <v>11</v>
      </c>
      <c r="B20" s="21"/>
      <c r="C20" s="98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01"/>
      <c r="O20" s="23">
        <f t="shared" ref="O20:Z20" si="224">(O19-C19)/C19</f>
        <v>0.24901143983159174</v>
      </c>
      <c r="P20" s="30">
        <f t="shared" si="224"/>
        <v>-4.6623214066530971E-2</v>
      </c>
      <c r="Q20" s="30">
        <f t="shared" si="224"/>
        <v>9.1031384353479738E-2</v>
      </c>
      <c r="R20" s="30">
        <f t="shared" si="224"/>
        <v>0.11730777768971161</v>
      </c>
      <c r="S20" s="30">
        <f t="shared" si="224"/>
        <v>6.1289148445332786E-2</v>
      </c>
      <c r="T20" s="30">
        <f t="shared" si="224"/>
        <v>2.3222861004218536E-2</v>
      </c>
      <c r="U20" s="30">
        <f t="shared" si="224"/>
        <v>0.81768605148480955</v>
      </c>
      <c r="V20" s="30">
        <f t="shared" si="224"/>
        <v>9.8663660424738911E-2</v>
      </c>
      <c r="W20" s="30">
        <f t="shared" si="224"/>
        <v>0.33754909653905119</v>
      </c>
      <c r="X20" s="30">
        <f t="shared" si="224"/>
        <v>0.35920653701891292</v>
      </c>
      <c r="Y20" s="30">
        <f t="shared" si="224"/>
        <v>0.39604385236683221</v>
      </c>
      <c r="Z20" s="30">
        <f t="shared" si="224"/>
        <v>-0.46384178689671529</v>
      </c>
      <c r="AB20" s="23">
        <f t="shared" ref="AB20" si="225">(AB19-P19)/P19</f>
        <v>0.31713363494147606</v>
      </c>
      <c r="AC20" s="30">
        <f t="shared" ref="AC20" si="226">(AC19-Q19)/Q19</f>
        <v>0.21819601116666515</v>
      </c>
      <c r="AD20" s="30">
        <f t="shared" ref="AD20" si="227">(AD19-R19)/R19</f>
        <v>0.16038487921769468</v>
      </c>
      <c r="AE20" s="30">
        <f t="shared" ref="AE20" si="228">(AE19-S19)/S19</f>
        <v>1.1765828202993262E-2</v>
      </c>
      <c r="AF20" s="30">
        <f t="shared" ref="AF20" si="229">(AF19-T19)/T19</f>
        <v>-0.11419044214845002</v>
      </c>
      <c r="AG20" s="30">
        <f t="shared" ref="AG20" si="230">(AG19-U19)/U19</f>
        <v>-0.3244033668738911</v>
      </c>
      <c r="AH20" s="30">
        <f t="shared" ref="AH20" si="231">(AH19-V19)/V19</f>
        <v>4.3326266554603685E-2</v>
      </c>
      <c r="AI20" s="30">
        <f t="shared" ref="AI20" si="232">(AI19-W19)/W19</f>
        <v>7.5383020153035801E-2</v>
      </c>
      <c r="AJ20" s="30">
        <f t="shared" ref="AJ20" si="233">(AJ19-X19)/X19</f>
        <v>-2.7310505629140322E-2</v>
      </c>
      <c r="AK20" s="30">
        <f t="shared" ref="AK20" si="234">(AK19-Y19)/Y19</f>
        <v>-0.14215686046043838</v>
      </c>
      <c r="AL20" s="30">
        <f t="shared" ref="AL20" si="235">(AL19-Z19)/Z19</f>
        <v>0.49882012177948803</v>
      </c>
      <c r="AM20" s="30" t="e">
        <f t="shared" ref="AM20" si="236">(AM19-AA19)/AA19</f>
        <v>#DIV/0!</v>
      </c>
      <c r="AO20" s="30">
        <f t="shared" ref="AO20" si="237">(AO19-AC19)/AC19</f>
        <v>0.12062428528571395</v>
      </c>
      <c r="AP20" s="30">
        <f t="shared" ref="AP20" si="238">(AP19-AD19)/AD19</f>
        <v>2.2562133544253658E-3</v>
      </c>
      <c r="AQ20" s="30">
        <f t="shared" ref="AQ20" si="239">(AQ19-AE19)/AE19</f>
        <v>0.43682370101821444</v>
      </c>
      <c r="AR20" s="30">
        <f t="shared" ref="AR20" si="240">(AR19-AF19)/AF19</f>
        <v>0.41890451252522382</v>
      </c>
      <c r="AS20" s="30">
        <f t="shared" ref="AS20" si="241">(AS19-AG19)/AG19</f>
        <v>0.2219134537948115</v>
      </c>
      <c r="AT20" s="30">
        <f t="shared" ref="AT20" si="242">(AT19-AH19)/AH19</f>
        <v>-1</v>
      </c>
      <c r="AU20" s="30">
        <f t="shared" ref="AU20" si="243">(AU19-AI19)/AI19</f>
        <v>-1</v>
      </c>
      <c r="AV20" s="30">
        <f t="shared" ref="AV20" si="244">(AV19-AJ19)/AJ19</f>
        <v>-1</v>
      </c>
      <c r="AW20" s="30">
        <f t="shared" ref="AW20" si="245">(AW19-AK19)/AK19</f>
        <v>-1</v>
      </c>
      <c r="AX20" s="30">
        <f t="shared" ref="AX20" si="246">(AX19-AL19)/AL19</f>
        <v>-1</v>
      </c>
      <c r="AY20" s="30">
        <f t="shared" ref="AY20" si="247">(AY19-AM19)/AM19</f>
        <v>-1</v>
      </c>
      <c r="AZ20" s="30" t="e">
        <f t="shared" ref="AZ20" si="248">(AZ19-AN19)/AN19</f>
        <v>#DIV/0!</v>
      </c>
    </row>
    <row r="21" spans="1:52">
      <c r="A21" s="15" t="s">
        <v>13</v>
      </c>
      <c r="B21" s="21"/>
      <c r="C21" s="98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01"/>
      <c r="O21" s="23">
        <f t="shared" ref="O21:Z21" si="249">(O19-N19)/N19</f>
        <v>-0.40389675412893628</v>
      </c>
      <c r="P21" s="23">
        <f t="shared" si="249"/>
        <v>-0.16389733986058061</v>
      </c>
      <c r="Q21" s="23">
        <f t="shared" si="249"/>
        <v>0.16735847188482678</v>
      </c>
      <c r="R21" s="23">
        <f t="shared" si="249"/>
        <v>3.5766948552731478E-2</v>
      </c>
      <c r="S21" s="23">
        <f t="shared" si="249"/>
        <v>-3.3410687863241077E-2</v>
      </c>
      <c r="T21" s="23">
        <f t="shared" si="249"/>
        <v>9.993359317798832E-2</v>
      </c>
      <c r="U21" s="23">
        <f t="shared" si="249"/>
        <v>0.61923661213742975</v>
      </c>
      <c r="V21" s="23">
        <f t="shared" si="249"/>
        <v>-0.37213279474525646</v>
      </c>
      <c r="W21" s="23">
        <f t="shared" si="249"/>
        <v>1.8297709901548238E-2</v>
      </c>
      <c r="X21" s="23">
        <f t="shared" si="249"/>
        <v>1.9995176118703033E-3</v>
      </c>
      <c r="Y21" s="23">
        <f t="shared" si="249"/>
        <v>0.12668885197965793</v>
      </c>
      <c r="Z21" s="23">
        <f t="shared" si="249"/>
        <v>-0.2840004700591785</v>
      </c>
      <c r="AB21" s="23">
        <f>(AB19-Z19)/Z19</f>
        <v>0.22438491141441283</v>
      </c>
      <c r="AC21" s="23">
        <f t="shared" ref="AC21" si="250">(AC19-AB19)/AB19</f>
        <v>7.9671338068058858E-2</v>
      </c>
      <c r="AD21" s="23">
        <f t="shared" ref="AD21" si="251">(AD19-AC19)/AC19</f>
        <v>-1.3386766598427613E-2</v>
      </c>
      <c r="AE21" s="23">
        <f t="shared" ref="AE21" si="252">(AE19-AD19)/AD19</f>
        <v>-0.15720891107653057</v>
      </c>
      <c r="AF21" s="23">
        <f t="shared" ref="AF21" si="253">(AF19-AE19)/AE19</f>
        <v>-3.699881664359024E-2</v>
      </c>
      <c r="AG21" s="23">
        <f t="shared" ref="AG21" si="254">(AG19-AF19)/AF19</f>
        <v>0.23497290551690614</v>
      </c>
      <c r="AH21" s="23">
        <f t="shared" ref="AH21" si="255">(AH19-AG19)/AG19</f>
        <v>-3.0382457474107612E-2</v>
      </c>
      <c r="AI21" s="23">
        <f t="shared" ref="AI21" si="256">(AI19-AH19)/AH19</f>
        <v>4.958544780539715E-2</v>
      </c>
      <c r="AJ21" s="23">
        <f t="shared" ref="AJ21" si="257">(AJ19-AI19)/AI19</f>
        <v>-9.3686262586667041E-2</v>
      </c>
      <c r="AK21" s="23">
        <f t="shared" ref="AK21" si="258">(AK19-AJ19)/AJ19</f>
        <v>-6.3403504819330488E-3</v>
      </c>
      <c r="AL21" s="23">
        <f t="shared" ref="AL21" si="259">(AL19-AK19)/AK19</f>
        <v>0.25099153119760659</v>
      </c>
      <c r="AM21" s="23">
        <f t="shared" ref="AM21" si="260">(AM19-AL19)/AL19</f>
        <v>-7.0686882729542211E-2</v>
      </c>
      <c r="AO21" s="23">
        <f>(AO19-AM19)/AM19</f>
        <v>6.3550188935556931E-2</v>
      </c>
      <c r="AP21" s="23">
        <f t="shared" ref="AP21" si="261">(AP19-AO19)/AO19</f>
        <v>-0.11759966624111513</v>
      </c>
      <c r="AQ21" s="23">
        <f t="shared" ref="AQ21" si="262">(AQ19-AP19)/AP19</f>
        <v>0.20821621800609177</v>
      </c>
      <c r="AR21" s="23">
        <f t="shared" ref="AR21" si="263">(AR19-AQ19)/AQ19</f>
        <v>-4.9008779808387574E-2</v>
      </c>
      <c r="AS21" s="23">
        <f t="shared" ref="AS21" si="264">(AS19-AR19)/AR19</f>
        <v>6.3517660985908109E-2</v>
      </c>
      <c r="AT21" s="23">
        <f t="shared" ref="AT21" si="265">(AT19-AS19)/AS19</f>
        <v>-1</v>
      </c>
      <c r="AU21" s="23" t="e">
        <f t="shared" ref="AU21" si="266">(AU19-AT19)/AT19</f>
        <v>#DIV/0!</v>
      </c>
      <c r="AV21" s="23" t="e">
        <f t="shared" ref="AV21" si="267">(AV19-AU19)/AU19</f>
        <v>#DIV/0!</v>
      </c>
      <c r="AW21" s="23" t="e">
        <f t="shared" ref="AW21" si="268">(AW19-AV19)/AV19</f>
        <v>#DIV/0!</v>
      </c>
      <c r="AX21" s="23" t="e">
        <f t="shared" ref="AX21" si="269">(AX19-AW19)/AW19</f>
        <v>#DIV/0!</v>
      </c>
      <c r="AY21" s="23" t="e">
        <f t="shared" ref="AY21" si="270">(AY19-AX19)/AX19</f>
        <v>#DIV/0!</v>
      </c>
      <c r="AZ21" s="23" t="e">
        <f t="shared" ref="AZ21" si="271">(AZ19-AY19)/AY19</f>
        <v>#DIV/0!</v>
      </c>
    </row>
    <row r="22" spans="1:52">
      <c r="A22" s="17" t="s">
        <v>8</v>
      </c>
      <c r="B22" s="24" t="s">
        <v>0</v>
      </c>
      <c r="C22" s="94">
        <f>raw!B38</f>
        <v>0</v>
      </c>
      <c r="D22" s="25">
        <f>raw!C38</f>
        <v>0</v>
      </c>
      <c r="E22" s="25">
        <f>raw!D38</f>
        <v>0</v>
      </c>
      <c r="F22" s="25">
        <f>raw!E38</f>
        <v>0</v>
      </c>
      <c r="G22" s="25">
        <f>raw!F38</f>
        <v>0</v>
      </c>
      <c r="H22" s="25">
        <f>raw!G38</f>
        <v>0</v>
      </c>
      <c r="I22" s="25">
        <f>raw!H38</f>
        <v>0</v>
      </c>
      <c r="J22" s="25">
        <f>raw!I38</f>
        <v>0</v>
      </c>
      <c r="K22" s="25">
        <f>raw!J38</f>
        <v>0</v>
      </c>
      <c r="L22" s="25">
        <f>raw!K38</f>
        <v>0</v>
      </c>
      <c r="M22" s="25">
        <f>raw!L38</f>
        <v>0</v>
      </c>
      <c r="N22" s="95">
        <f>raw!M38</f>
        <v>0</v>
      </c>
      <c r="O22" s="25">
        <f>raw!O38</f>
        <v>0</v>
      </c>
      <c r="P22" s="25">
        <f>raw!P38</f>
        <v>0</v>
      </c>
      <c r="Q22" s="25">
        <f>raw!Q38</f>
        <v>0</v>
      </c>
      <c r="R22" s="25">
        <f>raw!R38</f>
        <v>0</v>
      </c>
      <c r="S22" s="25">
        <f>raw!S38</f>
        <v>0</v>
      </c>
      <c r="T22" s="25">
        <f>raw!T38</f>
        <v>0.37</v>
      </c>
      <c r="U22" s="25">
        <f>raw!U38</f>
        <v>0.61</v>
      </c>
      <c r="V22" s="25">
        <f>raw!V38</f>
        <v>0.38</v>
      </c>
      <c r="W22" s="25">
        <v>0.39</v>
      </c>
      <c r="X22" s="25">
        <f>raw!X38</f>
        <v>0</v>
      </c>
      <c r="Y22" s="25">
        <f>raw!Y38</f>
        <v>0</v>
      </c>
      <c r="Z22" s="25">
        <f>raw!Z38</f>
        <v>0</v>
      </c>
      <c r="AB22" s="25">
        <f>raw!AB38</f>
        <v>0.38</v>
      </c>
      <c r="AC22" s="25">
        <f>raw!AC38</f>
        <v>0.42</v>
      </c>
      <c r="AD22" s="25">
        <f>raw!AD38</f>
        <v>0.41</v>
      </c>
      <c r="AE22" s="25">
        <f>raw!AE38</f>
        <v>0.34</v>
      </c>
      <c r="AF22" s="25">
        <f>raw!AF38</f>
        <v>0.34</v>
      </c>
      <c r="AG22" s="25">
        <f>raw!AG38</f>
        <v>0.41</v>
      </c>
      <c r="AH22" s="25">
        <f>raw!AH38</f>
        <v>0.39</v>
      </c>
      <c r="AI22" s="25">
        <f>raw!AI38</f>
        <v>0.42</v>
      </c>
      <c r="AJ22" s="25">
        <f>raw!AJ38</f>
        <v>0.38</v>
      </c>
      <c r="AK22" s="25">
        <f>raw!AK38</f>
        <v>0.38</v>
      </c>
      <c r="AL22" s="25">
        <f>raw!AL38</f>
        <v>0.47</v>
      </c>
      <c r="AM22" s="25">
        <f>raw!AM38</f>
        <v>0.43</v>
      </c>
      <c r="AO22" s="25">
        <f>raw!AO38</f>
        <v>0.46</v>
      </c>
      <c r="AP22" s="25">
        <f>raw!AP38</f>
        <v>0.42</v>
      </c>
      <c r="AQ22" s="25">
        <f>raw!AQ38</f>
        <v>0.49</v>
      </c>
      <c r="AR22" s="25">
        <f>raw!AR38</f>
        <v>0.47</v>
      </c>
      <c r="AS22" s="25">
        <f>raw!AS38</f>
        <v>0.5</v>
      </c>
      <c r="AT22" s="25">
        <f>raw!AT38</f>
        <v>0</v>
      </c>
      <c r="AU22" s="25">
        <f>raw!AU38</f>
        <v>0</v>
      </c>
      <c r="AV22" s="25">
        <f>raw!AV38</f>
        <v>0</v>
      </c>
      <c r="AW22" s="25">
        <f>raw!AW38</f>
        <v>0</v>
      </c>
      <c r="AX22" s="25">
        <f>raw!AX38</f>
        <v>0</v>
      </c>
      <c r="AY22" s="25">
        <f>raw!AY38</f>
        <v>0</v>
      </c>
      <c r="AZ22" s="25">
        <f>raw!AZ38</f>
        <v>0</v>
      </c>
    </row>
    <row r="23" spans="1:52">
      <c r="A23" s="15" t="s">
        <v>11</v>
      </c>
      <c r="B23" s="26"/>
      <c r="C23" s="9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102"/>
      <c r="O23" s="27"/>
      <c r="P23" s="27"/>
      <c r="Q23" s="27"/>
      <c r="R23" s="27"/>
      <c r="S23" s="27"/>
      <c r="T23" s="27"/>
      <c r="U23" s="27"/>
      <c r="V23" s="14"/>
      <c r="W23" s="14"/>
      <c r="X23" s="14"/>
      <c r="Y23" s="14"/>
      <c r="Z23" s="14"/>
      <c r="AB23" s="27"/>
      <c r="AC23" s="27"/>
      <c r="AD23" s="27"/>
      <c r="AE23" s="27"/>
      <c r="AF23" s="27"/>
      <c r="AG23" s="27"/>
      <c r="AH23" s="27"/>
      <c r="AI23" s="14"/>
      <c r="AJ23" s="14"/>
      <c r="AK23" s="14"/>
      <c r="AL23" s="14"/>
      <c r="AM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>
      <c r="A24" s="15" t="s">
        <v>13</v>
      </c>
      <c r="B24" s="26"/>
      <c r="C24" s="9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102"/>
      <c r="O24" s="27"/>
      <c r="P24" s="27"/>
      <c r="Q24" s="27"/>
      <c r="R24" s="27"/>
      <c r="S24" s="27"/>
      <c r="T24" s="27"/>
      <c r="U24" s="27"/>
      <c r="V24" s="14"/>
      <c r="W24" s="14"/>
      <c r="X24" s="14"/>
      <c r="Y24" s="14"/>
      <c r="Z24" s="14"/>
      <c r="AB24" s="27"/>
      <c r="AC24" s="27"/>
      <c r="AD24" s="27"/>
      <c r="AE24" s="27"/>
      <c r="AF24" s="27"/>
      <c r="AG24" s="27"/>
      <c r="AH24" s="27"/>
      <c r="AI24" s="14"/>
      <c r="AJ24" s="14"/>
      <c r="AK24" s="14"/>
      <c r="AL24" s="14"/>
      <c r="AM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>
      <c r="A25" s="17" t="s">
        <v>9</v>
      </c>
      <c r="B25" s="24" t="s">
        <v>1</v>
      </c>
      <c r="C25" s="90">
        <f>raw!B39</f>
        <v>2820.4820020000002</v>
      </c>
      <c r="D25" s="18">
        <f>raw!C39</f>
        <v>2820.4820020000002</v>
      </c>
      <c r="E25" s="18">
        <f>raw!D39</f>
        <v>2820.4820020000002</v>
      </c>
      <c r="F25" s="18">
        <f>raw!E39</f>
        <v>2820.4820020000002</v>
      </c>
      <c r="G25" s="18">
        <f>raw!F39</f>
        <v>2820.4820020000002</v>
      </c>
      <c r="H25" s="18">
        <f>raw!G39</f>
        <v>2820.4820020000002</v>
      </c>
      <c r="I25" s="18">
        <f>raw!H39</f>
        <v>2820.4820020000002</v>
      </c>
      <c r="J25" s="18">
        <f>raw!I39</f>
        <v>2820.4820020000002</v>
      </c>
      <c r="K25" s="18">
        <f>raw!J39</f>
        <v>2820.4820020000002</v>
      </c>
      <c r="L25" s="18">
        <f>raw!K39</f>
        <v>2820.4820020000002</v>
      </c>
      <c r="M25" s="18">
        <f>raw!L39</f>
        <v>2820.4820020000002</v>
      </c>
      <c r="N25" s="91">
        <f>raw!M39</f>
        <v>2837.8104250000001</v>
      </c>
      <c r="O25" s="18">
        <f>raw!O39</f>
        <v>3024.5102099999999</v>
      </c>
      <c r="P25" s="18">
        <f>raw!P39</f>
        <v>3024.5102099999999</v>
      </c>
      <c r="Q25" s="18">
        <f>raw!Q39</f>
        <v>3024.5102099999999</v>
      </c>
      <c r="R25" s="18">
        <f>raw!R39</f>
        <v>3024.5102099999999</v>
      </c>
      <c r="S25" s="18">
        <f>raw!S39</f>
        <v>3024.5102099999999</v>
      </c>
      <c r="T25" s="18">
        <f>raw!T39</f>
        <v>3024.5102099999999</v>
      </c>
      <c r="U25" s="18">
        <f>raw!U39</f>
        <v>3024.5102099999999</v>
      </c>
      <c r="V25" s="18">
        <f>raw!V39</f>
        <v>3024.5102099999999</v>
      </c>
      <c r="W25" s="18">
        <f>raw!W39</f>
        <v>3024.5102099999999</v>
      </c>
      <c r="X25" s="18">
        <f>raw!X39</f>
        <v>3024.5102099999999</v>
      </c>
      <c r="Y25" s="18">
        <f>raw!Y39</f>
        <v>3024.5102099999999</v>
      </c>
      <c r="Z25" s="25">
        <f>raw!Z41</f>
        <v>0</v>
      </c>
      <c r="AB25" s="18">
        <f>raw!AB39</f>
        <v>3024.5102099999999</v>
      </c>
      <c r="AC25" s="18">
        <f>raw!AC39</f>
        <v>3024.5102099999999</v>
      </c>
      <c r="AD25" s="18">
        <f>raw!AD39</f>
        <v>3024.5102099999999</v>
      </c>
      <c r="AE25" s="18">
        <f>raw!AE39</f>
        <v>3024.5102099999999</v>
      </c>
      <c r="AF25" s="18">
        <f>raw!AF39</f>
        <v>3024.5102099999999</v>
      </c>
      <c r="AG25" s="18">
        <f>raw!AG39</f>
        <v>3024.5102099999999</v>
      </c>
      <c r="AH25" s="18">
        <f>raw!AH39</f>
        <v>3024.5102099999999</v>
      </c>
      <c r="AI25" s="18">
        <f>raw!AI39</f>
        <v>3024.5102099999999</v>
      </c>
      <c r="AJ25" s="18">
        <f>raw!AJ39</f>
        <v>3024.5102099999999</v>
      </c>
      <c r="AK25" s="18">
        <f>raw!AK39</f>
        <v>3024.5102099999999</v>
      </c>
      <c r="AL25" s="18">
        <f>raw!AL39</f>
        <v>3024.5102099999999</v>
      </c>
      <c r="AM25" s="25">
        <f>raw!AM41</f>
        <v>0</v>
      </c>
      <c r="AO25" s="25">
        <f>raw!AO39</f>
        <v>3024.5102099999999</v>
      </c>
      <c r="AP25" s="25">
        <f>raw!AP39</f>
        <v>3024.5102099999999</v>
      </c>
      <c r="AQ25" s="25">
        <f>raw!AQ39</f>
        <v>3025.0375989999998</v>
      </c>
      <c r="AR25" s="25">
        <f>raw!AR39</f>
        <v>3027.3349499999999</v>
      </c>
      <c r="AS25" s="25">
        <f>raw!AS39</f>
        <v>3030.2206860000001</v>
      </c>
      <c r="AT25" s="25">
        <f>raw!AT39</f>
        <v>0</v>
      </c>
      <c r="AU25" s="25">
        <f>raw!AU39</f>
        <v>0</v>
      </c>
      <c r="AV25" s="25">
        <f>raw!AV39</f>
        <v>0</v>
      </c>
      <c r="AW25" s="25">
        <f>raw!AW39</f>
        <v>0</v>
      </c>
      <c r="AX25" s="25">
        <f>raw!AX39</f>
        <v>0</v>
      </c>
      <c r="AY25" s="25">
        <f>raw!AY39</f>
        <v>0</v>
      </c>
      <c r="AZ25" s="25">
        <f>raw!AZ41</f>
        <v>0</v>
      </c>
    </row>
    <row r="26" spans="1:52">
      <c r="A26" s="15" t="s">
        <v>11</v>
      </c>
      <c r="B26" s="26"/>
      <c r="C26" s="98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01"/>
      <c r="O26" s="30">
        <f t="shared" ref="O26:Z26" si="272">(O25-C25)/C25</f>
        <v>7.2338064151915724E-2</v>
      </c>
      <c r="P26" s="30">
        <f t="shared" si="272"/>
        <v>7.2338064151915724E-2</v>
      </c>
      <c r="Q26" s="30">
        <f t="shared" si="272"/>
        <v>7.2338064151915724E-2</v>
      </c>
      <c r="R26" s="30">
        <f t="shared" si="272"/>
        <v>7.2338064151915724E-2</v>
      </c>
      <c r="S26" s="30">
        <f t="shared" si="272"/>
        <v>7.2338064151915724E-2</v>
      </c>
      <c r="T26" s="30">
        <f t="shared" si="272"/>
        <v>7.2338064151915724E-2</v>
      </c>
      <c r="U26" s="30">
        <f t="shared" si="272"/>
        <v>7.2338064151915724E-2</v>
      </c>
      <c r="V26" s="30">
        <f t="shared" si="272"/>
        <v>7.2338064151915724E-2</v>
      </c>
      <c r="W26" s="30">
        <f t="shared" si="272"/>
        <v>7.2338064151915724E-2</v>
      </c>
      <c r="X26" s="30">
        <f t="shared" si="272"/>
        <v>7.2338064151915724E-2</v>
      </c>
      <c r="Y26" s="30">
        <f t="shared" si="272"/>
        <v>7.2338064151915724E-2</v>
      </c>
      <c r="Z26" s="30">
        <f t="shared" si="272"/>
        <v>-1</v>
      </c>
      <c r="AB26" s="30">
        <f t="shared" ref="AB26" si="273">(AB25-P25)/P25</f>
        <v>0</v>
      </c>
      <c r="AC26" s="30">
        <f t="shared" ref="AC26" si="274">(AC25-Q25)/Q25</f>
        <v>0</v>
      </c>
      <c r="AD26" s="30">
        <f t="shared" ref="AD26" si="275">(AD25-R25)/R25</f>
        <v>0</v>
      </c>
      <c r="AE26" s="30">
        <f t="shared" ref="AE26" si="276">(AE25-S25)/S25</f>
        <v>0</v>
      </c>
      <c r="AF26" s="30">
        <f t="shared" ref="AF26" si="277">(AF25-T25)/T25</f>
        <v>0</v>
      </c>
      <c r="AG26" s="30">
        <f t="shared" ref="AG26" si="278">(AG25-U25)/U25</f>
        <v>0</v>
      </c>
      <c r="AH26" s="30">
        <f t="shared" ref="AH26" si="279">(AH25-V25)/V25</f>
        <v>0</v>
      </c>
      <c r="AI26" s="30">
        <f t="shared" ref="AI26" si="280">(AI25-W25)/W25</f>
        <v>0</v>
      </c>
      <c r="AJ26" s="30">
        <f t="shared" ref="AJ26" si="281">(AJ25-X25)/X25</f>
        <v>0</v>
      </c>
      <c r="AK26" s="30">
        <f t="shared" ref="AK26" si="282">(AK25-Y25)/Y25</f>
        <v>0</v>
      </c>
      <c r="AL26" s="30" t="e">
        <f t="shared" ref="AL26" si="283">(AL25-Z25)/Z25</f>
        <v>#DIV/0!</v>
      </c>
      <c r="AM26" s="30" t="e">
        <f t="shared" ref="AM26" si="284">(AM25-AA25)/AA25</f>
        <v>#DIV/0!</v>
      </c>
      <c r="AO26" s="30">
        <f t="shared" ref="AO26" si="285">(AO25-AC25)/AC25</f>
        <v>0</v>
      </c>
      <c r="AP26" s="30">
        <f t="shared" ref="AP26" si="286">(AP25-AD25)/AD25</f>
        <v>0</v>
      </c>
      <c r="AQ26" s="30">
        <f t="shared" ref="AQ26" si="287">(AQ25-AE25)/AE25</f>
        <v>1.7437170430311007E-4</v>
      </c>
      <c r="AR26" s="30">
        <f t="shared" ref="AR26" si="288">(AR25-AF25)/AF25</f>
        <v>9.33949566663893E-4</v>
      </c>
      <c r="AS26" s="30">
        <f t="shared" ref="AS26" si="289">(AS25-AG25)/AG25</f>
        <v>1.8880663656282381E-3</v>
      </c>
      <c r="AT26" s="30">
        <f t="shared" ref="AT26" si="290">(AT25-AH25)/AH25</f>
        <v>-1</v>
      </c>
      <c r="AU26" s="30">
        <f t="shared" ref="AU26" si="291">(AU25-AI25)/AI25</f>
        <v>-1</v>
      </c>
      <c r="AV26" s="30">
        <f t="shared" ref="AV26" si="292">(AV25-AJ25)/AJ25</f>
        <v>-1</v>
      </c>
      <c r="AW26" s="30">
        <f t="shared" ref="AW26" si="293">(AW25-AK25)/AK25</f>
        <v>-1</v>
      </c>
      <c r="AX26" s="30">
        <f t="shared" ref="AX26" si="294">(AX25-AL25)/AL25</f>
        <v>-1</v>
      </c>
      <c r="AY26" s="30" t="e">
        <f t="shared" ref="AY26" si="295">(AY25-AM25)/AM25</f>
        <v>#DIV/0!</v>
      </c>
      <c r="AZ26" s="30" t="e">
        <f t="shared" ref="AZ26" si="296">(AZ25-AN25)/AN25</f>
        <v>#DIV/0!</v>
      </c>
    </row>
    <row r="27" spans="1:52">
      <c r="A27" s="15" t="s">
        <v>13</v>
      </c>
      <c r="B27" s="26"/>
      <c r="C27" s="98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01"/>
      <c r="O27" s="23">
        <f t="shared" ref="O27:Z27" si="297">(O25-N25)/N25</f>
        <v>6.5790083564161897E-2</v>
      </c>
      <c r="P27" s="23">
        <f t="shared" si="297"/>
        <v>0</v>
      </c>
      <c r="Q27" s="23">
        <f t="shared" si="297"/>
        <v>0</v>
      </c>
      <c r="R27" s="23">
        <f t="shared" si="297"/>
        <v>0</v>
      </c>
      <c r="S27" s="23">
        <f t="shared" si="297"/>
        <v>0</v>
      </c>
      <c r="T27" s="23">
        <f t="shared" si="297"/>
        <v>0</v>
      </c>
      <c r="U27" s="23">
        <f t="shared" si="297"/>
        <v>0</v>
      </c>
      <c r="V27" s="23">
        <f t="shared" si="297"/>
        <v>0</v>
      </c>
      <c r="W27" s="23">
        <f t="shared" si="297"/>
        <v>0</v>
      </c>
      <c r="X27" s="23">
        <f t="shared" si="297"/>
        <v>0</v>
      </c>
      <c r="Y27" s="23">
        <f t="shared" si="297"/>
        <v>0</v>
      </c>
      <c r="Z27" s="23">
        <f t="shared" si="297"/>
        <v>-1</v>
      </c>
      <c r="AB27" s="23" t="e">
        <f t="shared" ref="AB27" si="298">(AB25-AA25)/AA25</f>
        <v>#DIV/0!</v>
      </c>
      <c r="AC27" s="23">
        <f t="shared" ref="AC27" si="299">(AC25-AB25)/AB25</f>
        <v>0</v>
      </c>
      <c r="AD27" s="23">
        <f t="shared" ref="AD27" si="300">(AD25-AC25)/AC25</f>
        <v>0</v>
      </c>
      <c r="AE27" s="23">
        <f t="shared" ref="AE27" si="301">(AE25-AD25)/AD25</f>
        <v>0</v>
      </c>
      <c r="AF27" s="23">
        <f t="shared" ref="AF27" si="302">(AF25-AE25)/AE25</f>
        <v>0</v>
      </c>
      <c r="AG27" s="23">
        <f t="shared" ref="AG27" si="303">(AG25-AF25)/AF25</f>
        <v>0</v>
      </c>
      <c r="AH27" s="23">
        <f t="shared" ref="AH27" si="304">(AH25-AG25)/AG25</f>
        <v>0</v>
      </c>
      <c r="AI27" s="23">
        <f t="shared" ref="AI27" si="305">(AI25-AH25)/AH25</f>
        <v>0</v>
      </c>
      <c r="AJ27" s="23">
        <f t="shared" ref="AJ27" si="306">(AJ25-AI25)/AI25</f>
        <v>0</v>
      </c>
      <c r="AK27" s="23">
        <f t="shared" ref="AK27" si="307">(AK25-AJ25)/AJ25</f>
        <v>0</v>
      </c>
      <c r="AL27" s="23">
        <f t="shared" ref="AL27" si="308">(AL25-AK25)/AK25</f>
        <v>0</v>
      </c>
      <c r="AM27" s="23">
        <f t="shared" ref="AM27" si="309">(AM25-AL25)/AL25</f>
        <v>-1</v>
      </c>
      <c r="AO27" s="23" t="e">
        <f t="shared" ref="AO27" si="310">(AO25-AN25)/AN25</f>
        <v>#DIV/0!</v>
      </c>
      <c r="AP27" s="23">
        <f t="shared" ref="AP27" si="311">(AP25-AO25)/AO25</f>
        <v>0</v>
      </c>
      <c r="AQ27" s="23">
        <f t="shared" ref="AQ27" si="312">(AQ25-AP25)/AP25</f>
        <v>1.7437170430311007E-4</v>
      </c>
      <c r="AR27" s="23">
        <f t="shared" ref="AR27" si="313">(AR25-AQ25)/AQ25</f>
        <v>7.5944543656568375E-4</v>
      </c>
      <c r="AS27" s="23">
        <f t="shared" ref="AS27" si="314">(AS25-AR25)/AR25</f>
        <v>9.5322653345649084E-4</v>
      </c>
      <c r="AT27" s="23">
        <f t="shared" ref="AT27" si="315">(AT25-AS25)/AS25</f>
        <v>-1</v>
      </c>
      <c r="AU27" s="23" t="e">
        <f t="shared" ref="AU27" si="316">(AU25-AT25)/AT25</f>
        <v>#DIV/0!</v>
      </c>
      <c r="AV27" s="23" t="e">
        <f t="shared" ref="AV27" si="317">(AV25-AU25)/AU25</f>
        <v>#DIV/0!</v>
      </c>
      <c r="AW27" s="23" t="e">
        <f t="shared" ref="AW27" si="318">(AW25-AV25)/AV25</f>
        <v>#DIV/0!</v>
      </c>
      <c r="AX27" s="23" t="e">
        <f t="shared" ref="AX27" si="319">(AX25-AW25)/AW25</f>
        <v>#DIV/0!</v>
      </c>
      <c r="AY27" s="23" t="e">
        <f t="shared" ref="AY27" si="320">(AY25-AX25)/AX25</f>
        <v>#DIV/0!</v>
      </c>
      <c r="AZ27" s="23" t="e">
        <f t="shared" ref="AZ27" si="321">(AZ25-AY25)/AY25</f>
        <v>#DIV/0!</v>
      </c>
    </row>
    <row r="28" spans="1:52">
      <c r="A28" s="17" t="s">
        <v>10</v>
      </c>
      <c r="B28" s="20" t="s">
        <v>17</v>
      </c>
      <c r="C28" s="90">
        <f>raw!B40</f>
        <v>2820.4820020000002</v>
      </c>
      <c r="D28" s="18">
        <f>raw!C40</f>
        <v>2820.4820020000002</v>
      </c>
      <c r="E28" s="18">
        <f>raw!D40</f>
        <v>2820.4820020000002</v>
      </c>
      <c r="F28" s="18">
        <f>raw!E40</f>
        <v>2820.4820020000002</v>
      </c>
      <c r="G28" s="18">
        <f>raw!F40</f>
        <v>2820.4820020000002</v>
      </c>
      <c r="H28" s="18">
        <f>raw!G40</f>
        <v>2820.4820020000002</v>
      </c>
      <c r="I28" s="18">
        <f>raw!H40</f>
        <v>2820.4820020000002</v>
      </c>
      <c r="J28" s="18">
        <f>raw!I40</f>
        <v>2820.4820020000002</v>
      </c>
      <c r="K28" s="18">
        <f>raw!J40</f>
        <v>2820.4820020000002</v>
      </c>
      <c r="L28" s="18">
        <f>raw!K40</f>
        <v>2820.4820020000002</v>
      </c>
      <c r="M28" s="18">
        <f>raw!L40</f>
        <v>2820.4820020000002</v>
      </c>
      <c r="N28" s="91">
        <f>raw!M40</f>
        <v>3024.5102099999999</v>
      </c>
      <c r="O28" s="18">
        <f>raw!O40</f>
        <v>3024.5102099999999</v>
      </c>
      <c r="P28" s="18">
        <f>raw!P40</f>
        <v>3024.5102099999999</v>
      </c>
      <c r="Q28" s="18">
        <f>raw!Q40</f>
        <v>3024.5102099999999</v>
      </c>
      <c r="R28" s="18">
        <f>raw!R40</f>
        <v>3024.5102099999999</v>
      </c>
      <c r="S28" s="18">
        <f>raw!S40</f>
        <v>3024.5102099999999</v>
      </c>
      <c r="T28" s="18">
        <f>raw!T40</f>
        <v>3024.5102099999999</v>
      </c>
      <c r="U28" s="18">
        <f>raw!U40</f>
        <v>3024.5102099999999</v>
      </c>
      <c r="V28" s="18">
        <f>raw!V40</f>
        <v>3024.5102099999999</v>
      </c>
      <c r="W28" s="18">
        <f>raw!W40</f>
        <v>3024.5102099999999</v>
      </c>
      <c r="X28" s="18">
        <f>raw!X40</f>
        <v>3024.5102099999999</v>
      </c>
      <c r="Y28" s="18">
        <f>raw!Y40</f>
        <v>3024.5102099999999</v>
      </c>
      <c r="Z28" s="18">
        <f>raw!Z40</f>
        <v>3024.5102099999999</v>
      </c>
      <c r="AB28" s="18">
        <f>raw!AB40</f>
        <v>3024.5102099999999</v>
      </c>
      <c r="AC28" s="18">
        <f>raw!AC40</f>
        <v>3024.5102099999999</v>
      </c>
      <c r="AD28" s="18">
        <f>raw!AD40</f>
        <v>3024.5102099999999</v>
      </c>
      <c r="AE28" s="18">
        <f>raw!AE40</f>
        <v>3024.5102099999999</v>
      </c>
      <c r="AF28" s="18">
        <f>raw!AF40</f>
        <v>3024.5102099999999</v>
      </c>
      <c r="AG28" s="18">
        <f>raw!AG40</f>
        <v>3024.5102099999999</v>
      </c>
      <c r="AH28" s="18">
        <f>raw!AH40</f>
        <v>3024.5102099999999</v>
      </c>
      <c r="AI28" s="18">
        <f>raw!AI40</f>
        <v>3024.5102099999999</v>
      </c>
      <c r="AJ28" s="18">
        <f>raw!AJ40</f>
        <v>3024.5102099999999</v>
      </c>
      <c r="AK28" s="18">
        <f>raw!AK40</f>
        <v>3024.5102099999999</v>
      </c>
      <c r="AL28" s="18">
        <f>raw!AL40</f>
        <v>3024.5102099999999</v>
      </c>
      <c r="AM28" s="18">
        <f>raw!AM40</f>
        <v>3024.5102099999999</v>
      </c>
      <c r="AO28" s="18">
        <f>raw!AO40</f>
        <v>3024.5102099999999</v>
      </c>
      <c r="AP28" s="18">
        <f>raw!AP40</f>
        <v>3024.5102099999999</v>
      </c>
      <c r="AQ28" s="18">
        <f>raw!AQ40</f>
        <v>3030.66221</v>
      </c>
      <c r="AR28" s="18">
        <f>raw!AR40</f>
        <v>3037.4962099999998</v>
      </c>
      <c r="AS28" s="18">
        <f>raw!AS40</f>
        <v>3046.12221</v>
      </c>
      <c r="AT28" s="18">
        <f>raw!AT40</f>
        <v>0</v>
      </c>
      <c r="AU28" s="18">
        <f>raw!AU40</f>
        <v>0</v>
      </c>
      <c r="AV28" s="18">
        <f>raw!AV40</f>
        <v>0</v>
      </c>
      <c r="AW28" s="18">
        <f>raw!AW40</f>
        <v>0</v>
      </c>
      <c r="AX28" s="18">
        <f>raw!AX40</f>
        <v>0</v>
      </c>
      <c r="AY28" s="18">
        <f>raw!AY40</f>
        <v>0</v>
      </c>
      <c r="AZ28" s="18">
        <f>raw!AZ40</f>
        <v>0</v>
      </c>
    </row>
    <row r="29" spans="1:52">
      <c r="A29" s="15" t="s">
        <v>11</v>
      </c>
      <c r="B29" s="21"/>
      <c r="C29" s="98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01"/>
      <c r="O29" s="30">
        <f t="shared" ref="O29:Z29" si="322">(O28-C28)/C28</f>
        <v>7.2338064151915724E-2</v>
      </c>
      <c r="P29" s="30">
        <f t="shared" si="322"/>
        <v>7.2338064151915724E-2</v>
      </c>
      <c r="Q29" s="30">
        <f t="shared" si="322"/>
        <v>7.2338064151915724E-2</v>
      </c>
      <c r="R29" s="30">
        <f t="shared" si="322"/>
        <v>7.2338064151915724E-2</v>
      </c>
      <c r="S29" s="30">
        <f t="shared" si="322"/>
        <v>7.2338064151915724E-2</v>
      </c>
      <c r="T29" s="30">
        <f t="shared" si="322"/>
        <v>7.2338064151915724E-2</v>
      </c>
      <c r="U29" s="30">
        <f t="shared" si="322"/>
        <v>7.2338064151915724E-2</v>
      </c>
      <c r="V29" s="30">
        <f t="shared" si="322"/>
        <v>7.2338064151915724E-2</v>
      </c>
      <c r="W29" s="30">
        <f t="shared" si="322"/>
        <v>7.2338064151915724E-2</v>
      </c>
      <c r="X29" s="30">
        <f t="shared" si="322"/>
        <v>7.2338064151915724E-2</v>
      </c>
      <c r="Y29" s="30">
        <f t="shared" si="322"/>
        <v>7.2338064151915724E-2</v>
      </c>
      <c r="Z29" s="30">
        <f t="shared" si="322"/>
        <v>0</v>
      </c>
      <c r="AB29" s="30">
        <f t="shared" ref="AB29" si="323">(AB28-P28)/P28</f>
        <v>0</v>
      </c>
      <c r="AC29" s="30">
        <f t="shared" ref="AC29" si="324">(AC28-Q28)/Q28</f>
        <v>0</v>
      </c>
      <c r="AD29" s="30">
        <f t="shared" ref="AD29" si="325">(AD28-R28)/R28</f>
        <v>0</v>
      </c>
      <c r="AE29" s="30">
        <f t="shared" ref="AE29" si="326">(AE28-S28)/S28</f>
        <v>0</v>
      </c>
      <c r="AF29" s="30">
        <f t="shared" ref="AF29" si="327">(AF28-T28)/T28</f>
        <v>0</v>
      </c>
      <c r="AG29" s="30">
        <f t="shared" ref="AG29" si="328">(AG28-U28)/U28</f>
        <v>0</v>
      </c>
      <c r="AH29" s="30">
        <f t="shared" ref="AH29" si="329">(AH28-V28)/V28</f>
        <v>0</v>
      </c>
      <c r="AI29" s="30">
        <f t="shared" ref="AI29" si="330">(AI28-W28)/W28</f>
        <v>0</v>
      </c>
      <c r="AJ29" s="30">
        <f t="shared" ref="AJ29" si="331">(AJ28-X28)/X28</f>
        <v>0</v>
      </c>
      <c r="AK29" s="30">
        <f t="shared" ref="AK29" si="332">(AK28-Y28)/Y28</f>
        <v>0</v>
      </c>
      <c r="AL29" s="30">
        <f t="shared" ref="AL29" si="333">(AL28-Z28)/Z28</f>
        <v>0</v>
      </c>
      <c r="AM29" s="30" t="e">
        <f t="shared" ref="AM29" si="334">(AM28-AA28)/AA28</f>
        <v>#DIV/0!</v>
      </c>
      <c r="AO29" s="30">
        <f t="shared" ref="AO29" si="335">(AO28-AC28)/AC28</f>
        <v>0</v>
      </c>
      <c r="AP29" s="30">
        <f t="shared" ref="AP29" si="336">(AP28-AD28)/AD28</f>
        <v>0</v>
      </c>
      <c r="AQ29" s="30">
        <f t="shared" ref="AQ29" si="337">(AQ28-AE28)/AE28</f>
        <v>2.034048349269763E-3</v>
      </c>
      <c r="AR29" s="30">
        <f t="shared" ref="AR29" si="338">(AR28-AF28)/AF28</f>
        <v>4.2935877541639628E-3</v>
      </c>
      <c r="AS29" s="30">
        <f t="shared" ref="AS29" si="339">(AS28-AG28)/AG28</f>
        <v>7.145619786153766E-3</v>
      </c>
      <c r="AT29" s="30">
        <f t="shared" ref="AT29" si="340">(AT28-AH28)/AH28</f>
        <v>-1</v>
      </c>
      <c r="AU29" s="30">
        <f t="shared" ref="AU29" si="341">(AU28-AI28)/AI28</f>
        <v>-1</v>
      </c>
      <c r="AV29" s="30">
        <f t="shared" ref="AV29" si="342">(AV28-AJ28)/AJ28</f>
        <v>-1</v>
      </c>
      <c r="AW29" s="30">
        <f t="shared" ref="AW29" si="343">(AW28-AK28)/AK28</f>
        <v>-1</v>
      </c>
      <c r="AX29" s="30">
        <f t="shared" ref="AX29" si="344">(AX28-AL28)/AL28</f>
        <v>-1</v>
      </c>
      <c r="AY29" s="30">
        <f t="shared" ref="AY29" si="345">(AY28-AM28)/AM28</f>
        <v>-1</v>
      </c>
      <c r="AZ29" s="30" t="e">
        <f t="shared" ref="AZ29" si="346">(AZ28-AN28)/AN28</f>
        <v>#DIV/0!</v>
      </c>
    </row>
    <row r="30" spans="1:52" ht="16.8" thickBot="1">
      <c r="A30" s="15" t="s">
        <v>13</v>
      </c>
      <c r="B30" s="14"/>
      <c r="C30" s="99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3"/>
      <c r="O30" s="97">
        <f t="shared" ref="O30:Z30" si="347">(O28-N28)/N28</f>
        <v>0</v>
      </c>
      <c r="P30" s="97">
        <f t="shared" si="347"/>
        <v>0</v>
      </c>
      <c r="Q30" s="97">
        <f t="shared" si="347"/>
        <v>0</v>
      </c>
      <c r="R30" s="97">
        <f t="shared" si="347"/>
        <v>0</v>
      </c>
      <c r="S30" s="97">
        <f t="shared" si="347"/>
        <v>0</v>
      </c>
      <c r="T30" s="97">
        <f t="shared" si="347"/>
        <v>0</v>
      </c>
      <c r="U30" s="97">
        <f t="shared" si="347"/>
        <v>0</v>
      </c>
      <c r="V30" s="97">
        <f t="shared" si="347"/>
        <v>0</v>
      </c>
      <c r="W30" s="97">
        <f t="shared" si="347"/>
        <v>0</v>
      </c>
      <c r="X30" s="97">
        <f t="shared" si="347"/>
        <v>0</v>
      </c>
      <c r="Y30" s="97">
        <f t="shared" si="347"/>
        <v>0</v>
      </c>
      <c r="Z30" s="97">
        <f t="shared" si="347"/>
        <v>0</v>
      </c>
      <c r="AB30" s="97" t="e">
        <f t="shared" ref="AB30" si="348">(AB28-AA28)/AA28</f>
        <v>#DIV/0!</v>
      </c>
      <c r="AC30" s="97">
        <f t="shared" ref="AC30" si="349">(AC28-AB28)/AB28</f>
        <v>0</v>
      </c>
      <c r="AD30" s="97">
        <f t="shared" ref="AD30" si="350">(AD28-AC28)/AC28</f>
        <v>0</v>
      </c>
      <c r="AE30" s="97">
        <f t="shared" ref="AE30" si="351">(AE28-AD28)/AD28</f>
        <v>0</v>
      </c>
      <c r="AF30" s="97">
        <f t="shared" ref="AF30" si="352">(AF28-AE28)/AE28</f>
        <v>0</v>
      </c>
      <c r="AG30" s="97">
        <f t="shared" ref="AG30" si="353">(AG28-AF28)/AF28</f>
        <v>0</v>
      </c>
      <c r="AH30" s="97">
        <f t="shared" ref="AH30" si="354">(AH28-AG28)/AG28</f>
        <v>0</v>
      </c>
      <c r="AI30" s="97">
        <f t="shared" ref="AI30" si="355">(AI28-AH28)/AH28</f>
        <v>0</v>
      </c>
      <c r="AJ30" s="97">
        <f t="shared" ref="AJ30" si="356">(AJ28-AI28)/AI28</f>
        <v>0</v>
      </c>
      <c r="AK30" s="97">
        <f t="shared" ref="AK30" si="357">(AK28-AJ28)/AJ28</f>
        <v>0</v>
      </c>
      <c r="AL30" s="97">
        <f t="shared" ref="AL30" si="358">(AL28-AK28)/AK28</f>
        <v>0</v>
      </c>
      <c r="AM30" s="97">
        <f t="shared" ref="AM30" si="359">(AM28-AL28)/AL28</f>
        <v>0</v>
      </c>
      <c r="AO30" s="97" t="e">
        <f t="shared" ref="AO30" si="360">(AO28-AN28)/AN28</f>
        <v>#DIV/0!</v>
      </c>
      <c r="AP30" s="97">
        <f t="shared" ref="AP30" si="361">(AP28-AO28)/AO28</f>
        <v>0</v>
      </c>
      <c r="AQ30" s="97">
        <f t="shared" ref="AQ30" si="362">(AQ28-AP28)/AP28</f>
        <v>2.034048349269763E-3</v>
      </c>
      <c r="AR30" s="97">
        <f t="shared" ref="AR30" si="363">(AR28-AQ28)/AQ28</f>
        <v>2.2549527220322692E-3</v>
      </c>
      <c r="AS30" s="97">
        <f t="shared" ref="AS30" si="364">(AS28-AR28)/AR28</f>
        <v>2.8398389343176184E-3</v>
      </c>
      <c r="AT30" s="97">
        <f t="shared" ref="AT30" si="365">(AT28-AS28)/AS28</f>
        <v>-1</v>
      </c>
      <c r="AU30" s="97" t="e">
        <f t="shared" ref="AU30" si="366">(AU28-AT28)/AT28</f>
        <v>#DIV/0!</v>
      </c>
      <c r="AV30" s="97" t="e">
        <f t="shared" ref="AV30" si="367">(AV28-AU28)/AU28</f>
        <v>#DIV/0!</v>
      </c>
      <c r="AW30" s="97" t="e">
        <f t="shared" ref="AW30" si="368">(AW28-AV28)/AV28</f>
        <v>#DIV/0!</v>
      </c>
      <c r="AX30" s="97" t="e">
        <f t="shared" ref="AX30" si="369">(AX28-AW28)/AW28</f>
        <v>#DIV/0!</v>
      </c>
      <c r="AY30" s="97" t="e">
        <f t="shared" ref="AY30" si="370">(AY28-AX28)/AX28</f>
        <v>#DIV/0!</v>
      </c>
      <c r="AZ30" s="97" t="e">
        <f t="shared" ref="AZ30" si="371">(AZ28-AY28)/AY28</f>
        <v>#DIV/0!</v>
      </c>
    </row>
    <row r="33" spans="12:52">
      <c r="L33" s="15" t="s">
        <v>2</v>
      </c>
      <c r="M33" s="124">
        <v>183347.82458760729</v>
      </c>
      <c r="N33" s="124">
        <f>SUM(C4:N4)</f>
        <v>183347.82458760729</v>
      </c>
      <c r="O33" s="15"/>
      <c r="P33" s="15"/>
      <c r="Q33" s="15"/>
      <c r="R33" s="15"/>
      <c r="S33" s="15"/>
      <c r="T33" s="15"/>
      <c r="U33" s="15"/>
      <c r="V33" s="15"/>
      <c r="W33" s="15"/>
      <c r="X33" s="15" t="s">
        <v>2</v>
      </c>
      <c r="Y33" s="124">
        <v>127308.96858900001</v>
      </c>
      <c r="Z33" s="124">
        <f>SUM(O4:Z4)</f>
        <v>199373.905172</v>
      </c>
      <c r="AK33" s="15" t="s">
        <v>2</v>
      </c>
      <c r="AL33" s="124">
        <v>127308.96858900001</v>
      </c>
      <c r="AM33" s="124">
        <f>SUM(AB4:AM4)</f>
        <v>198764.58299210749</v>
      </c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2:52">
      <c r="L34" s="15" t="s">
        <v>3</v>
      </c>
      <c r="M34" s="124">
        <v>35788.728991777978</v>
      </c>
      <c r="N34" s="124">
        <f>SUM(C7:N7)</f>
        <v>35788.728991777978</v>
      </c>
      <c r="O34" s="15"/>
      <c r="P34" s="15"/>
      <c r="Q34" s="15"/>
      <c r="R34" s="15"/>
      <c r="S34" s="15"/>
      <c r="T34" s="15"/>
      <c r="U34" s="15"/>
      <c r="V34" s="15"/>
      <c r="W34" s="15"/>
      <c r="X34" s="15" t="s">
        <v>3</v>
      </c>
      <c r="Y34" s="124">
        <v>28249.568662768237</v>
      </c>
      <c r="Z34" s="124">
        <f>SUM(O7:Z7)</f>
        <v>42520.089402189828</v>
      </c>
      <c r="AK34" s="15" t="s">
        <v>3</v>
      </c>
      <c r="AL34" s="124">
        <v>28249.568662768237</v>
      </c>
      <c r="AM34" s="124">
        <f>SUM(AB7:AM7)</f>
        <v>43170.700686744705</v>
      </c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2:52">
      <c r="L35" s="15" t="s">
        <v>4</v>
      </c>
      <c r="M35" s="124">
        <v>17544.703736549665</v>
      </c>
      <c r="N35" s="124">
        <f>SUM(C10:N10)</f>
        <v>17544.703736549665</v>
      </c>
      <c r="O35" s="15"/>
      <c r="P35" s="15"/>
      <c r="Q35" s="15"/>
      <c r="R35" s="15"/>
      <c r="S35" s="15"/>
      <c r="T35" s="15"/>
      <c r="U35" s="15"/>
      <c r="V35" s="15"/>
      <c r="W35" s="15"/>
      <c r="X35" s="15" t="s">
        <v>4</v>
      </c>
      <c r="Y35" s="124">
        <v>13095.777816768237</v>
      </c>
      <c r="Z35" s="124">
        <f>SUM(O10:Z10)</f>
        <v>20250.475870189828</v>
      </c>
      <c r="AK35" s="15" t="s">
        <v>4</v>
      </c>
      <c r="AL35" s="124">
        <v>13095.777816768237</v>
      </c>
      <c r="AM35" s="124">
        <f>SUM(AB10:AM10)</f>
        <v>21450.083750132922</v>
      </c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2:52">
      <c r="L36" s="15" t="s">
        <v>5</v>
      </c>
      <c r="M36" s="124">
        <v>17471.364485543218</v>
      </c>
      <c r="N36" s="124">
        <f>SUM(C13:N13)</f>
        <v>17471.364485543218</v>
      </c>
      <c r="O36" s="15"/>
      <c r="P36" s="15"/>
      <c r="Q36" s="15"/>
      <c r="R36" s="15"/>
      <c r="S36" s="15"/>
      <c r="T36" s="15"/>
      <c r="U36" s="15"/>
      <c r="V36" s="15"/>
      <c r="W36" s="15"/>
      <c r="X36" s="15" t="s">
        <v>5</v>
      </c>
      <c r="Y36" s="124">
        <v>12952.804781330055</v>
      </c>
      <c r="Z36" s="124">
        <f>SUM(O13:Z13)</f>
        <v>19532.04028060726</v>
      </c>
      <c r="AK36" s="15" t="s">
        <v>5</v>
      </c>
      <c r="AL36" s="124">
        <v>12952.804781330055</v>
      </c>
      <c r="AM36" s="124">
        <f>SUM(AB13:AM13)</f>
        <v>19942.85227905124</v>
      </c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2:52">
      <c r="L37" s="15" t="s">
        <v>6</v>
      </c>
      <c r="M37" s="125">
        <v>9.5290819647522174E-2</v>
      </c>
      <c r="N37" s="125">
        <f>SUM(C16:N16)/12</f>
        <v>9.5929162024648781E-2</v>
      </c>
      <c r="O37" s="15"/>
      <c r="P37" s="15"/>
      <c r="Q37" s="15"/>
      <c r="R37" s="15"/>
      <c r="S37" s="15"/>
      <c r="T37" s="15"/>
      <c r="U37" s="15"/>
      <c r="V37" s="15"/>
      <c r="W37" s="15"/>
      <c r="X37" s="15" t="s">
        <v>6</v>
      </c>
      <c r="Y37" s="125">
        <v>0.10174306590407195</v>
      </c>
      <c r="Z37" s="125">
        <f>SUM(O16:Z16)/12</f>
        <v>9.8677722633275081E-2</v>
      </c>
      <c r="AK37" s="15" t="s">
        <v>6</v>
      </c>
      <c r="AL37" s="125">
        <v>0.10174306590407195</v>
      </c>
      <c r="AM37" s="125">
        <f>SUM(AB16:AM16)/12</f>
        <v>0.10060116134994797</v>
      </c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</row>
    <row r="38" spans="12:52">
      <c r="L38" s="15" t="s">
        <v>7</v>
      </c>
      <c r="M38" s="124">
        <v>12274.109034137367</v>
      </c>
      <c r="N38" s="124">
        <f>SUM(C19:N19)</f>
        <v>12274.109034137367</v>
      </c>
      <c r="O38" s="15"/>
      <c r="P38" s="15"/>
      <c r="Q38" s="15"/>
      <c r="R38" s="15"/>
      <c r="S38" s="15"/>
      <c r="T38" s="15"/>
      <c r="U38" s="15"/>
      <c r="V38" s="15"/>
      <c r="W38" s="15"/>
      <c r="X38" s="15" t="s">
        <v>7</v>
      </c>
      <c r="Y38" s="124">
        <v>9190.5807579999109</v>
      </c>
      <c r="Z38" s="124">
        <f>SUM(O19:Z19)</f>
        <v>13816.716211999945</v>
      </c>
      <c r="AK38" s="15" t="s">
        <v>7</v>
      </c>
      <c r="AL38" s="124">
        <v>9190.5807579999109</v>
      </c>
      <c r="AM38" s="124">
        <f>SUM(AB19:AM19)</f>
        <v>14437.394063001411</v>
      </c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2:52">
      <c r="L39" s="15" t="s">
        <v>8</v>
      </c>
      <c r="M39" s="126">
        <v>4.33</v>
      </c>
      <c r="N39" s="126"/>
      <c r="O39" s="15"/>
      <c r="P39" s="15"/>
      <c r="Q39" s="15"/>
      <c r="R39" s="15"/>
      <c r="S39" s="15"/>
      <c r="T39" s="15"/>
      <c r="U39" s="15"/>
      <c r="V39" s="15"/>
      <c r="W39" s="15"/>
      <c r="X39" s="15" t="s">
        <v>8</v>
      </c>
      <c r="Y39" s="127">
        <v>3.04</v>
      </c>
      <c r="Z39" s="126"/>
      <c r="AK39" s="15" t="s">
        <v>8</v>
      </c>
      <c r="AL39" s="127">
        <v>3.04</v>
      </c>
      <c r="AM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</row>
    <row r="40" spans="12:52">
      <c r="L40" s="15" t="s">
        <v>9</v>
      </c>
      <c r="M40" s="128">
        <v>2837.8104250000001</v>
      </c>
      <c r="N40" s="128">
        <f>N25</f>
        <v>2837.8104250000001</v>
      </c>
      <c r="O40" s="15"/>
      <c r="P40" s="15"/>
      <c r="Q40" s="15"/>
      <c r="R40" s="15"/>
      <c r="S40" s="15"/>
      <c r="T40" s="15"/>
      <c r="U40" s="15"/>
      <c r="V40" s="15"/>
      <c r="W40" s="15"/>
      <c r="X40" s="15" t="s">
        <v>9</v>
      </c>
      <c r="Y40" s="124">
        <v>3024.5102099999999</v>
      </c>
      <c r="Z40" s="128">
        <f>Z25</f>
        <v>0</v>
      </c>
      <c r="AK40" s="15" t="s">
        <v>9</v>
      </c>
      <c r="AL40" s="124">
        <v>3024.5102099999999</v>
      </c>
      <c r="AM40" s="128">
        <f>AM25</f>
        <v>0</v>
      </c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</row>
    <row r="41" spans="12:52">
      <c r="L41" s="15" t="s">
        <v>10</v>
      </c>
      <c r="M41" s="128">
        <v>3024.5102099999999</v>
      </c>
      <c r="N41" s="128">
        <f>N28</f>
        <v>3024.5102099999999</v>
      </c>
      <c r="O41" s="15"/>
      <c r="P41" s="15"/>
      <c r="Q41" s="15"/>
      <c r="R41" s="15"/>
      <c r="S41" s="15"/>
      <c r="T41" s="15"/>
      <c r="U41" s="15"/>
      <c r="V41" s="15"/>
      <c r="W41" s="15"/>
      <c r="X41" s="15" t="s">
        <v>10</v>
      </c>
      <c r="Y41" s="124">
        <v>3024.5102099999999</v>
      </c>
      <c r="Z41" s="128">
        <f>Z28</f>
        <v>3024.5102099999999</v>
      </c>
      <c r="AK41" s="15" t="s">
        <v>10</v>
      </c>
      <c r="AL41" s="124">
        <v>3024.5102099999999</v>
      </c>
      <c r="AM41" s="128">
        <f>AM28</f>
        <v>3024.5102099999999</v>
      </c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</row>
    <row r="42" spans="12:52">
      <c r="L42" s="15" t="s">
        <v>64</v>
      </c>
      <c r="M42" s="127"/>
      <c r="N42" s="127"/>
      <c r="O42" s="15"/>
      <c r="P42" s="15"/>
      <c r="Q42" s="15"/>
      <c r="R42" s="15"/>
      <c r="S42" s="15"/>
      <c r="T42" s="15"/>
      <c r="U42" s="15"/>
      <c r="V42" s="15"/>
      <c r="W42" s="15"/>
      <c r="X42" s="15" t="s">
        <v>64</v>
      </c>
      <c r="Y42" s="127"/>
      <c r="AK42" s="15" t="s">
        <v>64</v>
      </c>
      <c r="AL42" s="127"/>
    </row>
    <row r="43" spans="12:52">
      <c r="L43" s="15" t="s">
        <v>65</v>
      </c>
      <c r="M43" s="125">
        <v>6.4699870158463568E-2</v>
      </c>
      <c r="N43" s="125"/>
      <c r="O43" s="15"/>
      <c r="P43" s="15"/>
      <c r="Q43" s="15"/>
      <c r="R43" s="15"/>
      <c r="S43" s="15"/>
      <c r="T43" s="15"/>
      <c r="U43" s="15"/>
      <c r="V43" s="15"/>
      <c r="W43" s="15"/>
      <c r="X43" s="15" t="s">
        <v>65</v>
      </c>
      <c r="Y43" s="125">
        <v>0.10321504638078993</v>
      </c>
      <c r="AK43" s="15" t="s">
        <v>65</v>
      </c>
      <c r="AL43" s="125">
        <v>0.10321504638078993</v>
      </c>
    </row>
    <row r="44" spans="12:52">
      <c r="L44" s="15" t="s">
        <v>58</v>
      </c>
      <c r="M44" s="125">
        <v>4.096326585367227E-2</v>
      </c>
      <c r="N44" s="125"/>
      <c r="O44" s="15"/>
      <c r="P44" s="15"/>
      <c r="Q44" s="15"/>
      <c r="R44" s="15"/>
      <c r="S44" s="15"/>
      <c r="T44" s="15"/>
      <c r="U44" s="15"/>
      <c r="V44" s="15"/>
      <c r="W44" s="15"/>
      <c r="X44" s="15" t="s">
        <v>58</v>
      </c>
      <c r="Y44" s="125">
        <v>0.20188597210575265</v>
      </c>
      <c r="AK44" s="15" t="s">
        <v>58</v>
      </c>
      <c r="AL44" s="125">
        <v>0.20188597210575265</v>
      </c>
    </row>
    <row r="45" spans="12:52">
      <c r="L45" s="15" t="s">
        <v>66</v>
      </c>
      <c r="M45" s="125">
        <v>3.8594377864531682E-2</v>
      </c>
      <c r="N45" s="125"/>
      <c r="O45" s="15"/>
      <c r="P45" s="15"/>
      <c r="Q45" s="15"/>
      <c r="R45" s="15"/>
      <c r="S45" s="15"/>
      <c r="T45" s="15"/>
      <c r="U45" s="15"/>
      <c r="V45" s="15"/>
      <c r="W45" s="15"/>
      <c r="X45" s="15" t="s">
        <v>66</v>
      </c>
      <c r="Y45" s="125">
        <v>0.11759732351936414</v>
      </c>
      <c r="AK45" s="15" t="s">
        <v>66</v>
      </c>
      <c r="AL45" s="125">
        <v>0.11759732351936414</v>
      </c>
    </row>
    <row r="46" spans="12:52">
      <c r="L46" s="15" t="s">
        <v>60</v>
      </c>
      <c r="M46" s="125">
        <v>7.9062630309779669E-2</v>
      </c>
      <c r="N46" s="125"/>
      <c r="O46" s="15"/>
      <c r="P46" s="15"/>
      <c r="Q46" s="15"/>
      <c r="R46" s="15"/>
      <c r="S46" s="15"/>
      <c r="T46" s="15"/>
      <c r="U46" s="15"/>
      <c r="V46" s="15"/>
      <c r="W46" s="15"/>
      <c r="X46" s="15" t="s">
        <v>60</v>
      </c>
      <c r="Y46" s="125">
        <v>0.15112797524017063</v>
      </c>
      <c r="AK46" s="15" t="s">
        <v>60</v>
      </c>
      <c r="AL46" s="125">
        <v>0.15112797524017063</v>
      </c>
    </row>
    <row r="47" spans="12:52">
      <c r="L47" s="15" t="s">
        <v>7</v>
      </c>
      <c r="M47" s="125">
        <v>0.11324226871829079</v>
      </c>
      <c r="N47" s="125"/>
      <c r="O47" s="15"/>
      <c r="P47" s="15"/>
      <c r="Q47" s="15"/>
      <c r="R47" s="15"/>
      <c r="S47" s="15"/>
      <c r="T47" s="15"/>
      <c r="U47" s="15"/>
      <c r="V47" s="15"/>
      <c r="W47" s="15"/>
      <c r="X47" s="15" t="s">
        <v>7</v>
      </c>
      <c r="Y47" s="125">
        <v>0.17674027725653829</v>
      </c>
      <c r="AK47" s="15" t="s">
        <v>7</v>
      </c>
      <c r="AL47" s="125">
        <v>0.17674027725653829</v>
      </c>
    </row>
    <row r="48" spans="12:52">
      <c r="L48" s="15" t="s">
        <v>67</v>
      </c>
      <c r="M48" s="125">
        <v>0.10741687979539649</v>
      </c>
      <c r="N48" s="125"/>
      <c r="O48" s="15"/>
      <c r="P48" s="15"/>
      <c r="Q48" s="15"/>
      <c r="R48" s="15"/>
      <c r="S48" s="15"/>
      <c r="T48" s="15"/>
      <c r="U48" s="15"/>
      <c r="V48" s="15"/>
      <c r="W48" s="15"/>
      <c r="X48" s="15" t="s">
        <v>67</v>
      </c>
      <c r="Y48" s="125">
        <v>9.7472924187725907E-2</v>
      </c>
      <c r="AK48" s="15" t="s">
        <v>67</v>
      </c>
      <c r="AL48" s="125">
        <v>9.7472924187725907E-2</v>
      </c>
    </row>
  </sheetData>
  <mergeCells count="5">
    <mergeCell ref="A1:Z1"/>
    <mergeCell ref="C2:N2"/>
    <mergeCell ref="O2:Z2"/>
    <mergeCell ref="AB2:AM2"/>
    <mergeCell ref="AO2:AZ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EEB2-9FE5-42BB-B776-3D57EC4318E1}">
  <dimension ref="A1:FL80"/>
  <sheetViews>
    <sheetView zoomScale="55" zoomScaleNormal="55" workbookViewId="0">
      <pane xSplit="1" ySplit="1" topLeftCell="AH10" activePane="bottomRight" state="frozen"/>
      <selection pane="topRight" activeCell="B1" sqref="B1"/>
      <selection pane="bottomLeft" activeCell="A2" sqref="A2"/>
      <selection pane="bottomRight" activeCell="AS39" sqref="AS39"/>
    </sheetView>
  </sheetViews>
  <sheetFormatPr defaultColWidth="9" defaultRowHeight="15"/>
  <cols>
    <col min="1" max="1" width="73.109375" style="36" customWidth="1"/>
    <col min="2" max="27" width="13.6640625" style="36" customWidth="1"/>
    <col min="28" max="28" width="15.6640625" style="36" customWidth="1"/>
    <col min="29" max="29" width="13.77734375" style="36" bestFit="1" customWidth="1"/>
    <col min="30" max="30" width="12" style="36" customWidth="1"/>
    <col min="31" max="31" width="11.44140625" style="36" customWidth="1"/>
    <col min="32" max="32" width="12.109375" style="36" customWidth="1"/>
    <col min="33" max="33" width="15" style="36" bestFit="1" customWidth="1"/>
    <col min="34" max="34" width="13.77734375" style="36" bestFit="1" customWidth="1"/>
    <col min="35" max="35" width="15" style="36" bestFit="1" customWidth="1"/>
    <col min="36" max="36" width="15" style="36" customWidth="1"/>
    <col min="37" max="37" width="13.6640625" style="36" bestFit="1" customWidth="1"/>
    <col min="38" max="39" width="13.6640625" style="36" customWidth="1"/>
    <col min="40" max="40" width="15.6640625" style="36" bestFit="1" customWidth="1"/>
    <col min="41" max="41" width="13.6640625" style="36" bestFit="1" customWidth="1"/>
    <col min="42" max="42" width="13.5546875" style="36" bestFit="1" customWidth="1"/>
    <col min="43" max="45" width="13.5546875" style="36" customWidth="1"/>
    <col min="46" max="52" width="13.6640625" style="36" bestFit="1" customWidth="1"/>
    <col min="53" max="16384" width="9" style="36"/>
  </cols>
  <sheetData>
    <row r="1" spans="1:52" ht="50.1" customHeight="1" thickBot="1">
      <c r="A1" s="31" t="s">
        <v>32</v>
      </c>
      <c r="B1" s="32">
        <v>44927</v>
      </c>
      <c r="C1" s="32">
        <v>44958</v>
      </c>
      <c r="D1" s="32">
        <v>44986</v>
      </c>
      <c r="E1" s="32">
        <v>45017</v>
      </c>
      <c r="F1" s="32">
        <v>45047</v>
      </c>
      <c r="G1" s="32">
        <v>45078</v>
      </c>
      <c r="H1" s="32">
        <v>45108</v>
      </c>
      <c r="I1" s="32">
        <v>45139</v>
      </c>
      <c r="J1" s="32">
        <v>45170</v>
      </c>
      <c r="K1" s="32">
        <v>45200</v>
      </c>
      <c r="L1" s="32">
        <v>45231</v>
      </c>
      <c r="M1" s="32">
        <v>45261</v>
      </c>
      <c r="N1" s="33" t="s">
        <v>33</v>
      </c>
      <c r="O1" s="34">
        <v>45292</v>
      </c>
      <c r="P1" s="32">
        <v>45323</v>
      </c>
      <c r="Q1" s="32">
        <v>45352</v>
      </c>
      <c r="R1" s="32">
        <v>45383</v>
      </c>
      <c r="S1" s="32">
        <v>45413</v>
      </c>
      <c r="T1" s="32">
        <v>45444</v>
      </c>
      <c r="U1" s="32">
        <v>45474</v>
      </c>
      <c r="V1" s="32">
        <v>45505</v>
      </c>
      <c r="W1" s="32">
        <v>45536</v>
      </c>
      <c r="X1" s="32">
        <v>45566</v>
      </c>
      <c r="Y1" s="32">
        <v>45597</v>
      </c>
      <c r="Z1" s="32">
        <v>45627</v>
      </c>
      <c r="AA1" s="35" t="s">
        <v>34</v>
      </c>
      <c r="AB1" s="34">
        <v>45658</v>
      </c>
      <c r="AC1" s="32">
        <v>45689</v>
      </c>
      <c r="AD1" s="32">
        <v>45717</v>
      </c>
      <c r="AE1" s="32">
        <v>45748</v>
      </c>
      <c r="AF1" s="32">
        <v>45778</v>
      </c>
      <c r="AG1" s="32">
        <v>45809</v>
      </c>
      <c r="AH1" s="32">
        <v>45839</v>
      </c>
      <c r="AI1" s="32">
        <v>45870</v>
      </c>
      <c r="AJ1" s="32">
        <v>45901</v>
      </c>
      <c r="AK1" s="32">
        <v>45931</v>
      </c>
      <c r="AL1" s="69">
        <v>45962</v>
      </c>
      <c r="AM1" s="69">
        <v>45992</v>
      </c>
      <c r="AN1" s="35" t="s">
        <v>34</v>
      </c>
      <c r="AO1" s="34">
        <v>46023</v>
      </c>
      <c r="AP1" s="32">
        <v>46054</v>
      </c>
      <c r="AQ1" s="32">
        <v>46082</v>
      </c>
      <c r="AR1" s="32">
        <v>46113</v>
      </c>
      <c r="AS1" s="32">
        <v>46143</v>
      </c>
      <c r="AT1" s="34">
        <v>46174</v>
      </c>
      <c r="AU1" s="34">
        <v>46204</v>
      </c>
      <c r="AV1" s="34">
        <v>46235</v>
      </c>
      <c r="AW1" s="34">
        <v>46266</v>
      </c>
      <c r="AX1" s="34">
        <v>46296</v>
      </c>
      <c r="AY1" s="34">
        <v>46327</v>
      </c>
      <c r="AZ1" s="34">
        <v>46357</v>
      </c>
    </row>
    <row r="2" spans="1:52" ht="21" thickTop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9"/>
      <c r="O2" s="40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9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9"/>
      <c r="AO2" s="40"/>
      <c r="AP2" s="152"/>
      <c r="AQ2" s="152"/>
      <c r="AR2" s="152"/>
      <c r="AS2" s="152"/>
      <c r="AT2" s="40"/>
      <c r="AU2" s="40"/>
      <c r="AV2" s="40"/>
      <c r="AW2" s="40"/>
      <c r="AX2" s="40"/>
      <c r="AY2" s="40"/>
      <c r="AZ2" s="40"/>
    </row>
    <row r="3" spans="1:52" ht="21">
      <c r="A3" s="41" t="s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9"/>
      <c r="O3" s="42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9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9"/>
      <c r="AO3" s="42"/>
      <c r="AP3" s="3"/>
      <c r="AQ3" s="3"/>
      <c r="AR3" s="3"/>
      <c r="AS3" s="3"/>
      <c r="AT3" s="42"/>
      <c r="AU3" s="42"/>
      <c r="AV3" s="42"/>
      <c r="AW3" s="42"/>
      <c r="AX3" s="42"/>
      <c r="AY3" s="42"/>
      <c r="AZ3" s="42"/>
    </row>
    <row r="4" spans="1:52" ht="20.399999999999999">
      <c r="A4" s="43" t="s">
        <v>36</v>
      </c>
      <c r="B4" s="2">
        <v>5909.0435447399996</v>
      </c>
      <c r="C4" s="2">
        <v>5606.6057395100006</v>
      </c>
      <c r="D4" s="2">
        <v>5713.7152329100009</v>
      </c>
      <c r="E4" s="2">
        <v>5417.7511063899992</v>
      </c>
      <c r="F4" s="2">
        <v>5486.6438159199988</v>
      </c>
      <c r="G4" s="2">
        <v>5505.8398288599992</v>
      </c>
      <c r="H4" s="2">
        <v>5510.0228473900006</v>
      </c>
      <c r="I4" s="2">
        <v>5628.7279807499999</v>
      </c>
      <c r="J4" s="2">
        <v>6083.6737970799995</v>
      </c>
      <c r="K4" s="2">
        <v>6851.4303778399999</v>
      </c>
      <c r="L4" s="2">
        <v>6651.3329255500003</v>
      </c>
      <c r="M4" s="2">
        <v>7124.2531567400001</v>
      </c>
      <c r="N4" s="44">
        <v>71489.04035368</v>
      </c>
      <c r="O4" s="45">
        <v>7078.8277248000004</v>
      </c>
      <c r="P4" s="2">
        <v>6822.4953392299994</v>
      </c>
      <c r="Q4" s="2">
        <v>6819.5644233000003</v>
      </c>
      <c r="R4" s="2">
        <v>6669.4108611600004</v>
      </c>
      <c r="S4" s="2">
        <v>6846.1663749999989</v>
      </c>
      <c r="T4" s="2">
        <v>6915.9394844900007</v>
      </c>
      <c r="U4" s="2">
        <v>6686.7212661899994</v>
      </c>
      <c r="V4" s="2">
        <v>6841.5293537899997</v>
      </c>
      <c r="W4" s="2">
        <v>7464.9148079200004</v>
      </c>
      <c r="X4" s="2">
        <v>7776.8358891899998</v>
      </c>
      <c r="Y4" s="2">
        <v>7586.2264947100002</v>
      </c>
      <c r="Z4" s="2">
        <v>7343.7404103299996</v>
      </c>
      <c r="AA4" s="44">
        <v>84852.361077110021</v>
      </c>
      <c r="AB4" s="2">
        <v>7250.5144799</v>
      </c>
      <c r="AC4" s="2">
        <v>7128.2284965050003</v>
      </c>
      <c r="AD4" s="2">
        <v>7134.7560861597003</v>
      </c>
      <c r="AE4" s="2">
        <v>7125.2227074081002</v>
      </c>
      <c r="AF4" s="2">
        <v>7062.6049351005004</v>
      </c>
      <c r="AG4" s="2">
        <v>6925.5655496271002</v>
      </c>
      <c r="AH4" s="2">
        <v>6784.3559255343998</v>
      </c>
      <c r="AI4" s="2">
        <v>6808.4452254952002</v>
      </c>
      <c r="AJ4" s="2">
        <v>7774.5769512061997</v>
      </c>
      <c r="AK4" s="2">
        <v>7934.9461460523007</v>
      </c>
      <c r="AL4" s="2">
        <v>8618.5552680737001</v>
      </c>
      <c r="AM4" s="2">
        <v>8822.9763589358008</v>
      </c>
      <c r="AN4" s="44">
        <v>89387.890986997998</v>
      </c>
      <c r="AO4" s="45">
        <v>7715.2718125600004</v>
      </c>
      <c r="AP4" s="2">
        <v>7208.0923613293999</v>
      </c>
      <c r="AQ4" s="2">
        <v>7835.2458914050003</v>
      </c>
      <c r="AR4" s="2">
        <v>7220.2389659799001</v>
      </c>
      <c r="AS4" s="2">
        <v>7278.9858499105994</v>
      </c>
      <c r="AT4" s="45"/>
      <c r="AU4" s="45"/>
      <c r="AV4" s="45"/>
      <c r="AW4" s="45"/>
      <c r="AX4" s="45"/>
      <c r="AY4" s="45"/>
      <c r="AZ4" s="45"/>
    </row>
    <row r="5" spans="1:52" ht="20.399999999999999">
      <c r="A5" s="37" t="s">
        <v>37</v>
      </c>
      <c r="B5" s="2">
        <v>4033.6883897399994</v>
      </c>
      <c r="C5" s="2">
        <v>4026.4126665100007</v>
      </c>
      <c r="D5" s="2">
        <v>4039.3745479100007</v>
      </c>
      <c r="E5" s="2">
        <v>4059.4071133899993</v>
      </c>
      <c r="F5" s="2">
        <v>4099.3665589199991</v>
      </c>
      <c r="G5" s="2">
        <v>4127.9582258599994</v>
      </c>
      <c r="H5" s="2">
        <v>4165.3973073900006</v>
      </c>
      <c r="I5" s="2">
        <v>4185.0508817499995</v>
      </c>
      <c r="J5" s="2">
        <v>4141.6914800799996</v>
      </c>
      <c r="K5" s="2">
        <v>4216.1976188400004</v>
      </c>
      <c r="L5" s="2">
        <v>4234.3113755499999</v>
      </c>
      <c r="M5" s="2">
        <v>5071.15241874</v>
      </c>
      <c r="N5" s="44">
        <v>50400.008584679999</v>
      </c>
      <c r="O5" s="45">
        <v>5051.9108238000008</v>
      </c>
      <c r="P5" s="2">
        <v>4987.1678382299997</v>
      </c>
      <c r="Q5" s="2">
        <v>5045.8413503000002</v>
      </c>
      <c r="R5" s="2">
        <v>5024.9085681600009</v>
      </c>
      <c r="S5" s="2">
        <v>5010.0535739999987</v>
      </c>
      <c r="T5" s="2">
        <v>5153.1176604900011</v>
      </c>
      <c r="U5" s="2">
        <v>5058.8388811899995</v>
      </c>
      <c r="V5" s="2">
        <v>5196.9004097899997</v>
      </c>
      <c r="W5" s="2">
        <v>5073.3231779200005</v>
      </c>
      <c r="X5" s="2">
        <v>5105.0428161899999</v>
      </c>
      <c r="Y5" s="2">
        <v>5128.3930787099998</v>
      </c>
      <c r="Z5" s="2">
        <v>5110.4611023299994</v>
      </c>
      <c r="AA5" s="44">
        <v>60945.761570110008</v>
      </c>
      <c r="AB5" s="2">
        <v>5134.1507268999994</v>
      </c>
      <c r="AC5" s="2">
        <v>5070.6765455050008</v>
      </c>
      <c r="AD5" s="2">
        <v>5102.5062961597005</v>
      </c>
      <c r="AE5" s="2">
        <v>5105.2737734081002</v>
      </c>
      <c r="AF5" s="2">
        <v>5117.2435231005002</v>
      </c>
      <c r="AG5" s="2">
        <v>5130.7358076271003</v>
      </c>
      <c r="AH5" s="2">
        <v>5195.2002145343995</v>
      </c>
      <c r="AI5" s="2">
        <v>5214.3017894952</v>
      </c>
      <c r="AJ5" s="2">
        <v>5287.0990492061992</v>
      </c>
      <c r="AK5" s="2">
        <v>5301.6601660523011</v>
      </c>
      <c r="AL5" s="2">
        <v>5752.5880130737005</v>
      </c>
      <c r="AM5" s="2">
        <v>6509.5899059358007</v>
      </c>
      <c r="AN5" s="44">
        <v>63938.168667997998</v>
      </c>
      <c r="AO5" s="45">
        <v>5348.195795560001</v>
      </c>
      <c r="AP5" s="2">
        <v>5217.3702973294003</v>
      </c>
      <c r="AQ5" s="2">
        <v>5691.2274244050004</v>
      </c>
      <c r="AR5" s="2">
        <v>5324.6435059799005</v>
      </c>
      <c r="AS5" s="2">
        <v>5290.0886659106</v>
      </c>
      <c r="AT5" s="45"/>
      <c r="AU5" s="45"/>
      <c r="AV5" s="45"/>
      <c r="AW5" s="45"/>
      <c r="AX5" s="45"/>
      <c r="AY5" s="45"/>
      <c r="AZ5" s="45"/>
    </row>
    <row r="6" spans="1:52" s="49" customFormat="1" ht="20.399999999999999">
      <c r="A6" s="46" t="s">
        <v>38</v>
      </c>
      <c r="B6" s="47">
        <v>1875.355155</v>
      </c>
      <c r="C6" s="47">
        <v>1580.1930729999999</v>
      </c>
      <c r="D6" s="47">
        <v>1674.3406849999999</v>
      </c>
      <c r="E6" s="47">
        <v>1358.343993</v>
      </c>
      <c r="F6" s="47">
        <v>1387.277257</v>
      </c>
      <c r="G6" s="47">
        <v>1377.881603</v>
      </c>
      <c r="H6" s="47">
        <v>1344.62554</v>
      </c>
      <c r="I6" s="47">
        <v>1443.677099</v>
      </c>
      <c r="J6" s="47">
        <v>1941.982317</v>
      </c>
      <c r="K6" s="47">
        <v>2635.232759</v>
      </c>
      <c r="L6" s="47">
        <v>2417.0215499999999</v>
      </c>
      <c r="M6" s="47">
        <v>2053.1007380000001</v>
      </c>
      <c r="N6" s="44">
        <v>21089.031769000001</v>
      </c>
      <c r="O6" s="48">
        <v>2026.9169010000001</v>
      </c>
      <c r="P6" s="47">
        <v>1835.327501</v>
      </c>
      <c r="Q6" s="47">
        <v>1773.7230730000001</v>
      </c>
      <c r="R6" s="47">
        <v>1644.502293</v>
      </c>
      <c r="S6" s="47">
        <v>1836.112801</v>
      </c>
      <c r="T6" s="47">
        <v>1762.8218240000001</v>
      </c>
      <c r="U6" s="47">
        <v>1627.8823850000001</v>
      </c>
      <c r="V6" s="47">
        <v>1644.628944</v>
      </c>
      <c r="W6" s="47">
        <v>2391.5916299999999</v>
      </c>
      <c r="X6" s="47">
        <v>2671.7930729999998</v>
      </c>
      <c r="Y6" s="47">
        <v>2457.8334159999999</v>
      </c>
      <c r="Z6" s="47">
        <v>2233.2793080000001</v>
      </c>
      <c r="AA6" s="44">
        <v>23906.599507000003</v>
      </c>
      <c r="AB6" s="47">
        <v>2116.3637530000001</v>
      </c>
      <c r="AC6" s="47">
        <v>2057.5519509999999</v>
      </c>
      <c r="AD6" s="47">
        <v>2032.2497900000001</v>
      </c>
      <c r="AE6" s="47">
        <v>2019.948934</v>
      </c>
      <c r="AF6" s="47">
        <v>1945.361412</v>
      </c>
      <c r="AG6" s="47">
        <v>1794.8297419999999</v>
      </c>
      <c r="AH6" s="47">
        <v>1589.1557110000001</v>
      </c>
      <c r="AI6" s="47">
        <v>1594.1434360000001</v>
      </c>
      <c r="AJ6" s="47">
        <v>2487.4779020000001</v>
      </c>
      <c r="AK6" s="47">
        <v>2633.2859800000001</v>
      </c>
      <c r="AL6" s="47">
        <v>2865.967255</v>
      </c>
      <c r="AM6" s="47">
        <v>2313.3864530000001</v>
      </c>
      <c r="AN6" s="44">
        <v>25449.722319</v>
      </c>
      <c r="AO6" s="48">
        <v>2367.0760169999999</v>
      </c>
      <c r="AP6" s="47">
        <v>1990.722064</v>
      </c>
      <c r="AQ6" s="47">
        <v>2144.0184669999999</v>
      </c>
      <c r="AR6" s="47">
        <v>1895.59546</v>
      </c>
      <c r="AS6" s="47">
        <v>1988.8971839999999</v>
      </c>
      <c r="AT6" s="48"/>
      <c r="AU6" s="48"/>
      <c r="AV6" s="48"/>
      <c r="AW6" s="48"/>
      <c r="AX6" s="48"/>
      <c r="AY6" s="48"/>
      <c r="AZ6" s="48"/>
    </row>
    <row r="7" spans="1:52" ht="20.399999999999999">
      <c r="A7" s="50" t="s">
        <v>39</v>
      </c>
      <c r="B7" s="51">
        <v>2116.8799209378999</v>
      </c>
      <c r="C7" s="51">
        <v>2158.5070757811</v>
      </c>
      <c r="D7" s="51">
        <v>2173.247058295</v>
      </c>
      <c r="E7" s="51">
        <v>2223.3597366656004</v>
      </c>
      <c r="F7" s="51">
        <v>2209.8265828342001</v>
      </c>
      <c r="G7" s="51">
        <v>2315.0637099057003</v>
      </c>
      <c r="H7" s="51">
        <v>2267.2100959745999</v>
      </c>
      <c r="I7" s="51">
        <v>2243.5114073410996</v>
      </c>
      <c r="J7" s="51">
        <v>2182.2757873559999</v>
      </c>
      <c r="K7" s="51">
        <v>2155.9185618287001</v>
      </c>
      <c r="L7" s="51">
        <v>2168.5976620662004</v>
      </c>
      <c r="M7" s="51">
        <v>2571.8680295537001</v>
      </c>
      <c r="N7" s="52">
        <v>26786.265628539804</v>
      </c>
      <c r="O7" s="53">
        <v>2728.1811343751001</v>
      </c>
      <c r="P7" s="51">
        <v>2656.6343059052006</v>
      </c>
      <c r="Q7" s="51">
        <v>2796.1983833841005</v>
      </c>
      <c r="R7" s="51">
        <v>2766.6314385818</v>
      </c>
      <c r="S7" s="51">
        <v>2745.5584478745</v>
      </c>
      <c r="T7" s="51">
        <v>2837.9250162048006</v>
      </c>
      <c r="U7" s="51">
        <v>2781.2481135085995</v>
      </c>
      <c r="V7" s="51">
        <v>2864.3191064450998</v>
      </c>
      <c r="W7" s="51">
        <v>2762.9018743287997</v>
      </c>
      <c r="X7" s="51">
        <v>2721.7557818308001</v>
      </c>
      <c r="Y7" s="51">
        <v>2775.2213245268003</v>
      </c>
      <c r="Z7" s="51">
        <v>2533.0920363021</v>
      </c>
      <c r="AA7" s="52">
        <v>32969.655610267699</v>
      </c>
      <c r="AB7" s="51">
        <v>2891.8964370506997</v>
      </c>
      <c r="AC7" s="51">
        <v>2880.6401940383007</v>
      </c>
      <c r="AD7" s="51">
        <v>2819.3553499326999</v>
      </c>
      <c r="AE7" s="51">
        <v>2827.5368922524999</v>
      </c>
      <c r="AF7" s="51">
        <v>2830.9035443681</v>
      </c>
      <c r="AG7" s="51">
        <v>2950.5478653966998</v>
      </c>
      <c r="AH7" s="51">
        <v>2961.1877560483999</v>
      </c>
      <c r="AI7" s="51">
        <v>2948.4815456896995</v>
      </c>
      <c r="AJ7" s="51">
        <v>2883.6238905085002</v>
      </c>
      <c r="AK7" s="51">
        <v>2819.436756047</v>
      </c>
      <c r="AL7" s="51">
        <v>3019.7147869901</v>
      </c>
      <c r="AM7" s="51">
        <v>3142.8128429474</v>
      </c>
      <c r="AN7" s="52">
        <v>34993.280718270107</v>
      </c>
      <c r="AO7" s="53">
        <v>3145.2297146231999</v>
      </c>
      <c r="AP7" s="51">
        <v>3017.8950834097</v>
      </c>
      <c r="AQ7" s="51">
        <v>3217.3234588133996</v>
      </c>
      <c r="AR7" s="51">
        <v>3175.2865550817</v>
      </c>
      <c r="AS7" s="51">
        <v>3159.5825178936002</v>
      </c>
      <c r="AT7" s="53"/>
      <c r="AU7" s="53"/>
      <c r="AV7" s="53"/>
      <c r="AW7" s="53"/>
      <c r="AX7" s="53"/>
      <c r="AY7" s="53"/>
      <c r="AZ7" s="53"/>
    </row>
    <row r="8" spans="1:52" ht="20.399999999999999">
      <c r="A8" s="54" t="s">
        <v>40</v>
      </c>
      <c r="B8" s="2">
        <v>516.78252999999995</v>
      </c>
      <c r="C8" s="2">
        <v>521.47907199999997</v>
      </c>
      <c r="D8" s="2">
        <v>520.706097</v>
      </c>
      <c r="E8" s="2">
        <v>521.99365499999999</v>
      </c>
      <c r="F8" s="2">
        <v>522.10624800000005</v>
      </c>
      <c r="G8" s="2">
        <v>527.308809</v>
      </c>
      <c r="H8" s="2">
        <v>523.47827900000004</v>
      </c>
      <c r="I8" s="2">
        <v>523.58063400000003</v>
      </c>
      <c r="J8" s="2">
        <v>516.36091899999997</v>
      </c>
      <c r="K8" s="2">
        <v>526.901477</v>
      </c>
      <c r="L8" s="2">
        <v>527.00833899999998</v>
      </c>
      <c r="M8" s="2">
        <v>515.74290399999995</v>
      </c>
      <c r="N8" s="8">
        <v>6263.4489629999998</v>
      </c>
      <c r="O8" s="45">
        <v>490.19109700000001</v>
      </c>
      <c r="P8" s="2">
        <v>488.974155</v>
      </c>
      <c r="Q8" s="2">
        <v>489.57149399999997</v>
      </c>
      <c r="R8" s="2">
        <v>491.93927100000002</v>
      </c>
      <c r="S8" s="2">
        <v>491.18973299999999</v>
      </c>
      <c r="T8" s="2">
        <v>492.71672799999999</v>
      </c>
      <c r="U8" s="2">
        <v>494.20393200000001</v>
      </c>
      <c r="V8" s="2">
        <v>495.08134000000001</v>
      </c>
      <c r="W8" s="2">
        <v>494.95079600000003</v>
      </c>
      <c r="X8" s="2">
        <v>476.55728599999998</v>
      </c>
      <c r="Y8" s="2">
        <v>491.72280899999998</v>
      </c>
      <c r="Z8" s="2">
        <v>497.09423299999997</v>
      </c>
      <c r="AA8" s="8">
        <v>5894.1928739999994</v>
      </c>
      <c r="AB8" s="2">
        <v>489.79640799999999</v>
      </c>
      <c r="AC8" s="2">
        <v>491.34076599999997</v>
      </c>
      <c r="AD8" s="2">
        <v>491.63812300000001</v>
      </c>
      <c r="AE8" s="2">
        <v>489.35917599999999</v>
      </c>
      <c r="AF8" s="2">
        <v>519.90459099999998</v>
      </c>
      <c r="AG8" s="2">
        <v>489.72481900000002</v>
      </c>
      <c r="AH8" s="2">
        <v>490.07674600000001</v>
      </c>
      <c r="AI8" s="2">
        <v>495.73693900000001</v>
      </c>
      <c r="AJ8" s="2">
        <v>495.164873</v>
      </c>
      <c r="AK8" s="2">
        <v>491.77641899999998</v>
      </c>
      <c r="AL8" s="2">
        <v>494.49881099999999</v>
      </c>
      <c r="AM8" s="2">
        <v>492.679576</v>
      </c>
      <c r="AN8" s="8">
        <v>5931.6972470000001</v>
      </c>
      <c r="AO8" s="45">
        <v>568.49106800000004</v>
      </c>
      <c r="AP8" s="2">
        <v>566.48062900000002</v>
      </c>
      <c r="AQ8" s="2">
        <v>571.07252700000004</v>
      </c>
      <c r="AR8" s="2">
        <v>567.90927599999998</v>
      </c>
      <c r="AS8" s="2">
        <v>569.04378299999996</v>
      </c>
      <c r="AT8" s="45"/>
      <c r="AU8" s="45"/>
      <c r="AV8" s="45"/>
      <c r="AW8" s="45"/>
      <c r="AX8" s="45"/>
      <c r="AY8" s="45"/>
      <c r="AZ8" s="45"/>
    </row>
    <row r="9" spans="1:52" ht="20.399999999999999">
      <c r="A9" s="50" t="s">
        <v>41</v>
      </c>
      <c r="B9" s="51">
        <v>246.171530074</v>
      </c>
      <c r="C9" s="51">
        <v>247.59666721939999</v>
      </c>
      <c r="D9" s="51">
        <v>250.29132237670001</v>
      </c>
      <c r="E9" s="51">
        <v>249.25847969190002</v>
      </c>
      <c r="F9" s="51">
        <v>250.8590536259</v>
      </c>
      <c r="G9" s="51">
        <v>254.37852815470001</v>
      </c>
      <c r="H9" s="51">
        <v>248.689886462</v>
      </c>
      <c r="I9" s="51">
        <v>248.15414119209998</v>
      </c>
      <c r="J9" s="51">
        <v>247.26648241940001</v>
      </c>
      <c r="K9" s="51">
        <v>247.02872080820001</v>
      </c>
      <c r="L9" s="51">
        <v>250.16850784079998</v>
      </c>
      <c r="M9" s="51">
        <v>230.15536695040001</v>
      </c>
      <c r="N9" s="52">
        <v>2970.0186868155001</v>
      </c>
      <c r="O9" s="53">
        <v>262.41882351070001</v>
      </c>
      <c r="P9" s="51">
        <v>260.0722427664</v>
      </c>
      <c r="Q9" s="51">
        <v>261.51860342719999</v>
      </c>
      <c r="R9" s="51">
        <v>263.85810653979996</v>
      </c>
      <c r="S9" s="51">
        <v>261.96302629540003</v>
      </c>
      <c r="T9" s="51">
        <v>262.02224334800002</v>
      </c>
      <c r="U9" s="51">
        <v>265.14987281099997</v>
      </c>
      <c r="V9" s="51">
        <v>263.15357378260001</v>
      </c>
      <c r="W9" s="51">
        <v>264.50567131769998</v>
      </c>
      <c r="X9" s="51">
        <v>264.75530704750003</v>
      </c>
      <c r="Y9" s="51">
        <v>264.26788818529997</v>
      </c>
      <c r="Z9" s="51">
        <v>262.1362937129</v>
      </c>
      <c r="AA9" s="52">
        <v>3155.8216527445002</v>
      </c>
      <c r="AB9" s="51">
        <v>261.77867489509998</v>
      </c>
      <c r="AC9" s="51">
        <v>260.45134633499998</v>
      </c>
      <c r="AD9" s="51">
        <v>264.50693864030001</v>
      </c>
      <c r="AE9" s="51">
        <v>263.7162040819</v>
      </c>
      <c r="AF9" s="51">
        <v>291.7897814895</v>
      </c>
      <c r="AG9" s="51">
        <v>261.11433155290001</v>
      </c>
      <c r="AH9" s="51">
        <v>262.33156423560001</v>
      </c>
      <c r="AI9" s="51">
        <v>263.33814457480003</v>
      </c>
      <c r="AJ9" s="51">
        <v>262.31620024380004</v>
      </c>
      <c r="AK9" s="51">
        <v>260.1670112777</v>
      </c>
      <c r="AL9" s="51">
        <v>264.2838901563</v>
      </c>
      <c r="AM9" s="51">
        <v>250.3342206042</v>
      </c>
      <c r="AN9" s="52">
        <v>3166.1283080870999</v>
      </c>
      <c r="AO9" s="53">
        <v>264.46421822389999</v>
      </c>
      <c r="AP9" s="51">
        <v>264.58125582060001</v>
      </c>
      <c r="AQ9" s="51">
        <v>262.242771215</v>
      </c>
      <c r="AR9" s="51">
        <v>262.9119670801</v>
      </c>
      <c r="AS9" s="51">
        <v>265.43993869939999</v>
      </c>
      <c r="AT9" s="53"/>
      <c r="AU9" s="53"/>
      <c r="AV9" s="53"/>
      <c r="AW9" s="53"/>
      <c r="AX9" s="53"/>
      <c r="AY9" s="53"/>
      <c r="AZ9" s="53"/>
    </row>
    <row r="10" spans="1:52" ht="20.399999999999999">
      <c r="A10" s="55" t="s">
        <v>42</v>
      </c>
      <c r="B10" s="2">
        <v>8752.3524641100012</v>
      </c>
      <c r="C10" s="2">
        <v>7899.1809169799999</v>
      </c>
      <c r="D10" s="2">
        <v>8468.5062037700009</v>
      </c>
      <c r="E10" s="2">
        <v>7960.2330262250607</v>
      </c>
      <c r="F10" s="2">
        <v>8976.3335092399993</v>
      </c>
      <c r="G10" s="2">
        <v>9275.8488417383396</v>
      </c>
      <c r="H10" s="2">
        <v>8458.7584420799994</v>
      </c>
      <c r="I10" s="2">
        <v>8619.2507439913697</v>
      </c>
      <c r="J10" s="2">
        <v>7996.6657547043296</v>
      </c>
      <c r="K10" s="2">
        <v>7943.6208837799995</v>
      </c>
      <c r="L10" s="2">
        <v>15158.466647605355</v>
      </c>
      <c r="M10" s="2">
        <v>9733.700597372932</v>
      </c>
      <c r="N10" s="8">
        <v>109242.91803159739</v>
      </c>
      <c r="O10" s="45">
        <v>9665.4437909999997</v>
      </c>
      <c r="P10" s="2">
        <v>8188.6343749999996</v>
      </c>
      <c r="Q10" s="2">
        <v>9023.7904400000007</v>
      </c>
      <c r="R10" s="2">
        <v>8119.8717980000001</v>
      </c>
      <c r="S10" s="2">
        <v>8977.6446410000008</v>
      </c>
      <c r="T10" s="2">
        <v>9559.4300459999995</v>
      </c>
      <c r="U10" s="2">
        <v>8545.5838710000007</v>
      </c>
      <c r="V10" s="2">
        <v>8762.0694700000004</v>
      </c>
      <c r="W10" s="2">
        <v>8245.2832870000002</v>
      </c>
      <c r="X10" s="2">
        <v>8156.009881</v>
      </c>
      <c r="Y10" s="2">
        <v>15572.540169</v>
      </c>
      <c r="Z10" s="2">
        <v>9747.3328970000002</v>
      </c>
      <c r="AA10" s="8">
        <v>112563.634666</v>
      </c>
      <c r="AB10" s="2">
        <v>9148.3504009999997</v>
      </c>
      <c r="AC10" s="2">
        <v>8300.7009309999994</v>
      </c>
      <c r="AD10" s="2">
        <v>8956.1045119999999</v>
      </c>
      <c r="AE10" s="2">
        <v>8172.6859720000002</v>
      </c>
      <c r="AF10" s="2">
        <v>8632.9412900000007</v>
      </c>
      <c r="AG10" s="2">
        <v>9225.2424559999999</v>
      </c>
      <c r="AH10" s="2">
        <v>8129.8002189999997</v>
      </c>
      <c r="AI10" s="2">
        <v>8488.0427980000004</v>
      </c>
      <c r="AJ10" s="2">
        <v>7938.0355689999997</v>
      </c>
      <c r="AK10" s="2">
        <v>7798.9886550000001</v>
      </c>
      <c r="AL10" s="2">
        <v>14678.79145470713</v>
      </c>
      <c r="AM10" s="2">
        <v>9196.2364490569726</v>
      </c>
      <c r="AN10" s="8">
        <v>108665.9207067641</v>
      </c>
      <c r="AO10" s="45">
        <v>9322.5656488509048</v>
      </c>
      <c r="AP10" s="2">
        <v>8129.0413691578733</v>
      </c>
      <c r="AQ10" s="2">
        <v>9141.8591266510684</v>
      </c>
      <c r="AR10" s="2">
        <v>8280.8469263384832</v>
      </c>
      <c r="AS10" s="2">
        <v>8987.0777605532021</v>
      </c>
      <c r="AT10" s="45"/>
      <c r="AU10" s="45"/>
      <c r="AV10" s="45"/>
      <c r="AW10" s="45"/>
      <c r="AX10" s="45"/>
      <c r="AY10" s="45"/>
      <c r="AZ10" s="45"/>
    </row>
    <row r="11" spans="1:52" ht="20.399999999999999">
      <c r="A11" s="56" t="s">
        <v>43</v>
      </c>
      <c r="B11" s="57">
        <v>46.688000000000002</v>
      </c>
      <c r="C11" s="57">
        <v>49.135238999999999</v>
      </c>
      <c r="D11" s="57">
        <v>50.715584</v>
      </c>
      <c r="E11" s="57">
        <v>49.736891999999997</v>
      </c>
      <c r="F11" s="57">
        <v>49.533895000000001</v>
      </c>
      <c r="G11" s="57">
        <v>51.486896000000002</v>
      </c>
      <c r="H11" s="57">
        <v>49.940697</v>
      </c>
      <c r="I11" s="57">
        <v>54.307706000000003</v>
      </c>
      <c r="J11" s="57">
        <v>50.945037999999997</v>
      </c>
      <c r="K11" s="57">
        <v>52.211111000000002</v>
      </c>
      <c r="L11" s="57">
        <v>53.106760000000001</v>
      </c>
      <c r="M11" s="57">
        <v>53.087415999999997</v>
      </c>
      <c r="N11" s="58">
        <v>610.89523399999996</v>
      </c>
      <c r="O11" s="59">
        <v>48.925722</v>
      </c>
      <c r="P11" s="57">
        <v>47.907127000000003</v>
      </c>
      <c r="Q11" s="57">
        <v>52.433787000000002</v>
      </c>
      <c r="R11" s="57">
        <v>52.000110999999997</v>
      </c>
      <c r="S11" s="57">
        <v>54.50553</v>
      </c>
      <c r="T11" s="57">
        <v>53.132480000000001</v>
      </c>
      <c r="U11" s="57">
        <v>53.479154000000001</v>
      </c>
      <c r="V11" s="57">
        <v>53.533684000000001</v>
      </c>
      <c r="W11" s="57">
        <v>54.515850999999998</v>
      </c>
      <c r="X11" s="57">
        <v>57.854635000000002</v>
      </c>
      <c r="Y11" s="57">
        <v>57.532145</v>
      </c>
      <c r="Z11" s="57">
        <v>55.761764999999997</v>
      </c>
      <c r="AA11" s="58">
        <v>641.58199100000002</v>
      </c>
      <c r="AB11" s="57">
        <v>51.424905000000003</v>
      </c>
      <c r="AC11" s="57">
        <v>51.424905000000003</v>
      </c>
      <c r="AD11" s="57">
        <v>51.424905000000003</v>
      </c>
      <c r="AE11" s="57">
        <v>55.915396999999999</v>
      </c>
      <c r="AF11" s="57">
        <v>54.855747999999998</v>
      </c>
      <c r="AG11" s="57">
        <v>53.601917</v>
      </c>
      <c r="AH11" s="57">
        <v>53.620472999999997</v>
      </c>
      <c r="AI11" s="57">
        <v>53.799787000000002</v>
      </c>
      <c r="AJ11" s="57">
        <v>58.513108000000003</v>
      </c>
      <c r="AK11" s="57">
        <v>59.37003</v>
      </c>
      <c r="AL11" s="57">
        <v>63.445799000000001</v>
      </c>
      <c r="AM11" s="57">
        <v>58.072229999999998</v>
      </c>
      <c r="AN11" s="58">
        <v>667.97408199999995</v>
      </c>
      <c r="AO11" s="59">
        <v>57.845455999999999</v>
      </c>
      <c r="AP11" s="57">
        <v>51.317053999999999</v>
      </c>
      <c r="AQ11" s="57">
        <v>63.545319999999997</v>
      </c>
      <c r="AR11" s="57">
        <v>58.759656</v>
      </c>
      <c r="AS11" s="57">
        <v>54.754513000000003</v>
      </c>
      <c r="AT11" s="59"/>
      <c r="AU11" s="59"/>
      <c r="AV11" s="59"/>
      <c r="AW11" s="59"/>
      <c r="AX11" s="59"/>
      <c r="AY11" s="59"/>
      <c r="AZ11" s="59"/>
    </row>
    <row r="12" spans="1:52" ht="7.5" customHeight="1">
      <c r="A12" s="3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9"/>
      <c r="O12" s="4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9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9"/>
      <c r="AO12" s="45"/>
      <c r="AP12" s="2"/>
      <c r="AQ12" s="2"/>
      <c r="AR12" s="2"/>
      <c r="AS12" s="2"/>
      <c r="AT12" s="45"/>
      <c r="AU12" s="45"/>
      <c r="AV12" s="45"/>
      <c r="AW12" s="45"/>
      <c r="AX12" s="45"/>
      <c r="AY12" s="45"/>
      <c r="AZ12" s="45"/>
    </row>
    <row r="13" spans="1:52" ht="21">
      <c r="A13" s="41" t="s">
        <v>44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8"/>
      <c r="O13" s="2"/>
      <c r="P13" s="2"/>
      <c r="Q13" s="2"/>
      <c r="R13" s="2"/>
      <c r="S13" s="2"/>
      <c r="T13" s="4"/>
      <c r="U13" s="2"/>
      <c r="V13" s="2"/>
      <c r="W13" s="2"/>
      <c r="X13" s="2"/>
      <c r="Y13" s="2"/>
      <c r="Z13" s="2"/>
      <c r="AA13" s="8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8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20.399999999999999">
      <c r="A14" s="55" t="s">
        <v>45</v>
      </c>
      <c r="B14" s="2">
        <v>7468.9290000000001</v>
      </c>
      <c r="C14" s="2">
        <v>7476.7719999999999</v>
      </c>
      <c r="D14" s="2">
        <v>7516.6670000000004</v>
      </c>
      <c r="E14" s="2">
        <v>7534.6019999999999</v>
      </c>
      <c r="F14" s="2">
        <v>7544.3990000000003</v>
      </c>
      <c r="G14" s="2">
        <v>7554.348</v>
      </c>
      <c r="H14" s="2">
        <v>7583.1390000000001</v>
      </c>
      <c r="I14" s="2">
        <v>7613.7889999999998</v>
      </c>
      <c r="J14" s="2">
        <v>7653.4269999999997</v>
      </c>
      <c r="K14" s="2">
        <v>7683.0280000000002</v>
      </c>
      <c r="L14" s="2">
        <v>7703.674</v>
      </c>
      <c r="M14" s="2">
        <v>10131.743</v>
      </c>
      <c r="N14" s="8">
        <v>10131.743</v>
      </c>
      <c r="O14" s="2">
        <v>10081.195</v>
      </c>
      <c r="P14" s="2">
        <v>10034.933999999999</v>
      </c>
      <c r="Q14" s="2">
        <v>10049.41</v>
      </c>
      <c r="R14" s="2">
        <v>10049.630999999999</v>
      </c>
      <c r="S14" s="2">
        <v>10051.272000000001</v>
      </c>
      <c r="T14" s="2">
        <v>10061.486999999999</v>
      </c>
      <c r="U14" s="2">
        <v>10065.977000000001</v>
      </c>
      <c r="V14" s="2">
        <v>10065.906000000001</v>
      </c>
      <c r="W14" s="2">
        <v>10048.009</v>
      </c>
      <c r="X14" s="2">
        <v>10038.530000000001</v>
      </c>
      <c r="Y14" s="2">
        <v>10027.067999999999</v>
      </c>
      <c r="Z14" s="2">
        <v>10005.989</v>
      </c>
      <c r="AA14" s="8">
        <v>10005.989</v>
      </c>
      <c r="AB14" s="2">
        <v>10003.574000000001</v>
      </c>
      <c r="AC14" s="2">
        <v>10026.799000000001</v>
      </c>
      <c r="AD14" s="2">
        <v>10025.799000000001</v>
      </c>
      <c r="AE14" s="2">
        <v>10020.157999999999</v>
      </c>
      <c r="AF14" s="2">
        <v>10008.173000000001</v>
      </c>
      <c r="AG14" s="2">
        <v>10007.839</v>
      </c>
      <c r="AH14" s="2">
        <v>9940.3169999999991</v>
      </c>
      <c r="AI14" s="2">
        <v>9902.9969999999994</v>
      </c>
      <c r="AJ14" s="2">
        <v>9817.0030000000006</v>
      </c>
      <c r="AK14" s="2">
        <v>9744.6820000000007</v>
      </c>
      <c r="AL14" s="2">
        <v>9703.1839999999993</v>
      </c>
      <c r="AM14" s="2">
        <v>9632.5789999999997</v>
      </c>
      <c r="AN14" s="8">
        <v>9703.1839999999993</v>
      </c>
      <c r="AO14" s="2">
        <v>9655.6949999999997</v>
      </c>
      <c r="AP14" s="2">
        <v>9681.5470000000005</v>
      </c>
      <c r="AQ14" s="2">
        <v>9693.4439999999995</v>
      </c>
      <c r="AR14" s="2">
        <v>9683.9889999999996</v>
      </c>
      <c r="AS14" s="2">
        <v>9702.8850000000002</v>
      </c>
      <c r="AT14" s="2"/>
      <c r="AU14" s="2"/>
      <c r="AV14" s="2"/>
      <c r="AW14" s="2"/>
      <c r="AX14" s="2"/>
      <c r="AY14" s="2"/>
      <c r="AZ14" s="2"/>
    </row>
    <row r="15" spans="1:52" ht="20.399999999999999">
      <c r="A15" s="37" t="s">
        <v>46</v>
      </c>
      <c r="B15" s="2">
        <v>6063.5659999999998</v>
      </c>
      <c r="C15" s="2">
        <v>6072.915</v>
      </c>
      <c r="D15" s="2">
        <v>6106.8959999999997</v>
      </c>
      <c r="E15" s="2">
        <v>6127.4059999999999</v>
      </c>
      <c r="F15" s="2">
        <v>6145.8289999999997</v>
      </c>
      <c r="G15" s="2">
        <v>6161.0649999999996</v>
      </c>
      <c r="H15" s="2">
        <v>6174.6130000000003</v>
      </c>
      <c r="I15" s="2">
        <v>6199.1130000000003</v>
      </c>
      <c r="J15" s="2">
        <v>6240.5150000000003</v>
      </c>
      <c r="K15" s="2">
        <v>6253.9539999999997</v>
      </c>
      <c r="L15" s="2">
        <v>6269.3580000000002</v>
      </c>
      <c r="M15" s="2">
        <v>8420.2710000000006</v>
      </c>
      <c r="N15" s="8">
        <v>8420.2710000000006</v>
      </c>
      <c r="O15" s="2">
        <v>8422.0589999999993</v>
      </c>
      <c r="P15" s="2">
        <v>8446.116</v>
      </c>
      <c r="Q15" s="2">
        <v>8455.9110000000001</v>
      </c>
      <c r="R15" s="2">
        <v>8461.9390000000003</v>
      </c>
      <c r="S15" s="2">
        <v>8467.777</v>
      </c>
      <c r="T15" s="2">
        <v>8479.8310000000001</v>
      </c>
      <c r="U15" s="2">
        <v>8490.9770000000008</v>
      </c>
      <c r="V15" s="2">
        <v>8499.1329999999998</v>
      </c>
      <c r="W15" s="2">
        <v>8482.2839999999997</v>
      </c>
      <c r="X15" s="2">
        <v>8484.1740000000009</v>
      </c>
      <c r="Y15" s="2">
        <v>8484.3889999999992</v>
      </c>
      <c r="Z15" s="2">
        <v>8470.1720000000005</v>
      </c>
      <c r="AA15" s="8">
        <v>8470.1720000000005</v>
      </c>
      <c r="AB15" s="2">
        <v>8470.8449999999993</v>
      </c>
      <c r="AC15" s="2">
        <v>8483.6299999999992</v>
      </c>
      <c r="AD15" s="2">
        <v>8484.8590000000004</v>
      </c>
      <c r="AE15" s="2">
        <v>8487.9529999999995</v>
      </c>
      <c r="AF15" s="2">
        <v>8488.4549999999999</v>
      </c>
      <c r="AG15" s="2">
        <v>8512.6299999999992</v>
      </c>
      <c r="AH15" s="2">
        <v>8512.0079999999998</v>
      </c>
      <c r="AI15" s="2">
        <v>8556.6970000000001</v>
      </c>
      <c r="AJ15" s="2">
        <v>8554.5329999999994</v>
      </c>
      <c r="AK15" s="2">
        <v>8547.7289999999994</v>
      </c>
      <c r="AL15" s="2">
        <v>8555.6470000000008</v>
      </c>
      <c r="AM15" s="2">
        <v>8557.6550000000007</v>
      </c>
      <c r="AN15" s="8">
        <v>8555.6470000000008</v>
      </c>
      <c r="AO15" s="2">
        <v>8599.9210000000003</v>
      </c>
      <c r="AP15" s="2">
        <v>8624.1489999999994</v>
      </c>
      <c r="AQ15" s="2">
        <v>8627.3310000000001</v>
      </c>
      <c r="AR15" s="2">
        <v>8625.1029999999992</v>
      </c>
      <c r="AS15" s="2">
        <v>8646.0380000000005</v>
      </c>
      <c r="AT15" s="2"/>
      <c r="AU15" s="2"/>
      <c r="AV15" s="2"/>
      <c r="AW15" s="2"/>
      <c r="AX15" s="2"/>
      <c r="AY15" s="2"/>
      <c r="AZ15" s="2"/>
    </row>
    <row r="16" spans="1:52" ht="20.399999999999999">
      <c r="A16" s="55" t="s">
        <v>47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8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8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8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20.399999999999999">
      <c r="A17" s="37" t="s">
        <v>48</v>
      </c>
      <c r="B17" s="6">
        <v>525.85900000000004</v>
      </c>
      <c r="C17" s="6">
        <v>524.64800000000002</v>
      </c>
      <c r="D17" s="6">
        <v>523.35199999999998</v>
      </c>
      <c r="E17" s="6">
        <v>521.95799999999997</v>
      </c>
      <c r="F17" s="6">
        <v>520.33000000000004</v>
      </c>
      <c r="G17" s="6">
        <v>518.77700000000004</v>
      </c>
      <c r="H17" s="6">
        <v>516.97900000000004</v>
      </c>
      <c r="I17" s="6">
        <v>515.11300000000006</v>
      </c>
      <c r="J17" s="6">
        <v>513.03599999999994</v>
      </c>
      <c r="K17" s="6">
        <v>510.92599999999999</v>
      </c>
      <c r="L17" s="6">
        <v>508.95299999999997</v>
      </c>
      <c r="M17" s="6">
        <v>507.09199999999998</v>
      </c>
      <c r="N17" s="8">
        <v>507.09199999999998</v>
      </c>
      <c r="O17" s="6">
        <v>505.452</v>
      </c>
      <c r="P17" s="6">
        <v>503.74200000000002</v>
      </c>
      <c r="Q17" s="6">
        <v>501.92</v>
      </c>
      <c r="R17" s="6">
        <v>500.26600000000002</v>
      </c>
      <c r="S17" s="6">
        <v>498.63600000000002</v>
      </c>
      <c r="T17" s="6">
        <v>497.23099999999999</v>
      </c>
      <c r="U17" s="6">
        <v>495.72500000000002</v>
      </c>
      <c r="V17" s="6">
        <v>494.05799999999999</v>
      </c>
      <c r="W17" s="6">
        <v>492.709</v>
      </c>
      <c r="X17" s="6">
        <v>491.43099999999998</v>
      </c>
      <c r="Y17" s="6">
        <v>490.17200000000003</v>
      </c>
      <c r="Z17" s="6">
        <v>488.56</v>
      </c>
      <c r="AA17" s="8">
        <v>488.56</v>
      </c>
      <c r="AB17" s="6">
        <v>487.55500000000001</v>
      </c>
      <c r="AC17" s="6">
        <v>486.36500000000001</v>
      </c>
      <c r="AD17" s="6">
        <v>485.26600000000002</v>
      </c>
      <c r="AE17" s="6">
        <v>484.04199999999997</v>
      </c>
      <c r="AF17" s="6">
        <v>482.75599999999997</v>
      </c>
      <c r="AG17" s="6">
        <v>481.62099999999998</v>
      </c>
      <c r="AH17" s="6">
        <v>480.58600000000001</v>
      </c>
      <c r="AI17" s="6">
        <v>479.50700000000001</v>
      </c>
      <c r="AJ17" s="6">
        <v>478.44400000000002</v>
      </c>
      <c r="AK17" s="6">
        <v>477.41</v>
      </c>
      <c r="AL17" s="6">
        <v>476.71699999999998</v>
      </c>
      <c r="AM17" s="6">
        <v>475.69099999999997</v>
      </c>
      <c r="AN17" s="8">
        <v>475.69099999999997</v>
      </c>
      <c r="AO17" s="6">
        <v>474.78899999999999</v>
      </c>
      <c r="AP17" s="6">
        <v>474.09500000000003</v>
      </c>
      <c r="AQ17" s="6">
        <v>473.09</v>
      </c>
      <c r="AR17" s="6">
        <v>471.94600000000003</v>
      </c>
      <c r="AS17" s="6">
        <v>470.61700000000002</v>
      </c>
      <c r="AT17" s="6"/>
      <c r="AU17" s="6"/>
      <c r="AV17" s="6"/>
      <c r="AW17" s="6"/>
      <c r="AX17" s="6"/>
      <c r="AY17" s="6"/>
      <c r="AZ17" s="6"/>
    </row>
    <row r="18" spans="1:52" ht="21" thickBot="1">
      <c r="A18" s="60" t="s">
        <v>49</v>
      </c>
      <c r="B18" s="61">
        <v>295.15300000000002</v>
      </c>
      <c r="C18" s="61">
        <v>296.11700000000002</v>
      </c>
      <c r="D18" s="61">
        <v>297.10599999999999</v>
      </c>
      <c r="E18" s="61">
        <v>299.28899999999999</v>
      </c>
      <c r="F18" s="61">
        <v>300.26900000000001</v>
      </c>
      <c r="G18" s="61">
        <v>301.267</v>
      </c>
      <c r="H18" s="61">
        <v>302.05799999999999</v>
      </c>
      <c r="I18" s="61">
        <v>302.952</v>
      </c>
      <c r="J18" s="61">
        <v>303.75700000000001</v>
      </c>
      <c r="K18" s="61">
        <v>304.18400000000003</v>
      </c>
      <c r="L18" s="61">
        <v>304.86200000000002</v>
      </c>
      <c r="M18" s="61">
        <v>305.49400000000003</v>
      </c>
      <c r="N18" s="62">
        <v>305.49400000000003</v>
      </c>
      <c r="O18" s="61">
        <v>306.315</v>
      </c>
      <c r="P18" s="61">
        <v>307.06</v>
      </c>
      <c r="Q18" s="61">
        <v>308.012</v>
      </c>
      <c r="R18" s="61">
        <v>308.99400000000003</v>
      </c>
      <c r="S18" s="61">
        <v>309.61399999999998</v>
      </c>
      <c r="T18" s="61">
        <v>310.69099999999997</v>
      </c>
      <c r="U18" s="61">
        <v>311.70999999999998</v>
      </c>
      <c r="V18" s="61">
        <v>312.63900000000001</v>
      </c>
      <c r="W18" s="61">
        <v>313.58600000000001</v>
      </c>
      <c r="X18" s="61">
        <v>314.59899999999999</v>
      </c>
      <c r="Y18" s="61">
        <v>315.63200000000001</v>
      </c>
      <c r="Z18" s="61">
        <v>316.49099999999999</v>
      </c>
      <c r="AA18" s="62">
        <v>316.49099999999999</v>
      </c>
      <c r="AB18" s="61">
        <v>317.60300000000001</v>
      </c>
      <c r="AC18" s="61">
        <v>318.61700000000002</v>
      </c>
      <c r="AD18" s="61">
        <v>319.67</v>
      </c>
      <c r="AE18" s="61">
        <v>320.61799999999999</v>
      </c>
      <c r="AF18" s="61">
        <v>321.71100000000001</v>
      </c>
      <c r="AG18" s="61">
        <v>322.90300000000002</v>
      </c>
      <c r="AH18" s="61">
        <v>323.79700000000003</v>
      </c>
      <c r="AI18" s="61">
        <v>324.72300000000001</v>
      </c>
      <c r="AJ18" s="61">
        <v>326.161</v>
      </c>
      <c r="AK18" s="61">
        <v>327.06400000000002</v>
      </c>
      <c r="AL18" s="61">
        <v>328.03899999999999</v>
      </c>
      <c r="AM18" s="61">
        <v>328.92399999999998</v>
      </c>
      <c r="AN18" s="62">
        <v>328.92399999999998</v>
      </c>
      <c r="AO18" s="61">
        <v>330.041</v>
      </c>
      <c r="AP18" s="61">
        <v>330.875</v>
      </c>
      <c r="AQ18" s="61">
        <v>331.96699999999998</v>
      </c>
      <c r="AR18" s="61">
        <v>332.64600000000002</v>
      </c>
      <c r="AS18" s="61">
        <v>333.19799999999998</v>
      </c>
      <c r="AT18" s="61"/>
      <c r="AU18" s="61"/>
      <c r="AV18" s="61"/>
      <c r="AW18" s="61"/>
      <c r="AX18" s="61"/>
      <c r="AY18" s="61"/>
      <c r="AZ18" s="61"/>
    </row>
    <row r="19" spans="1:52" ht="7.5" customHeight="1" thickTop="1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63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63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63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</row>
    <row r="20" spans="1:52" ht="21">
      <c r="A20" s="41" t="s">
        <v>50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63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63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63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</row>
    <row r="21" spans="1:52" ht="20.399999999999999">
      <c r="A21" s="55" t="s">
        <v>51</v>
      </c>
      <c r="B21" s="2">
        <v>556.62535394887084</v>
      </c>
      <c r="C21" s="2">
        <v>557.05742413437656</v>
      </c>
      <c r="D21" s="2">
        <v>565.23840346178065</v>
      </c>
      <c r="E21" s="2">
        <v>556.79161710550784</v>
      </c>
      <c r="F21" s="2">
        <v>562.80829208723492</v>
      </c>
      <c r="G21" s="2">
        <v>568.50065253759135</v>
      </c>
      <c r="H21" s="2">
        <v>571.39883139123424</v>
      </c>
      <c r="I21" s="2">
        <v>570.61288097173326</v>
      </c>
      <c r="J21" s="2">
        <v>564.41151235431528</v>
      </c>
      <c r="K21" s="2">
        <v>571.82183380567187</v>
      </c>
      <c r="L21" s="2">
        <v>571.80731062446</v>
      </c>
      <c r="M21" s="2">
        <v>523.43606566316396</v>
      </c>
      <c r="N21" s="8">
        <v>561.7091815071617</v>
      </c>
      <c r="O21" s="2">
        <v>529.37802431294256</v>
      </c>
      <c r="P21" s="2">
        <v>525.83410059489586</v>
      </c>
      <c r="Q21" s="2">
        <v>531.99117561463925</v>
      </c>
      <c r="R21" s="2">
        <v>529.76523128640815</v>
      </c>
      <c r="S21" s="2">
        <v>528.49942452834091</v>
      </c>
      <c r="T21" s="2">
        <v>535.22050942886551</v>
      </c>
      <c r="U21" s="2">
        <v>535.4819493404633</v>
      </c>
      <c r="V21" s="2">
        <v>546.12415291704224</v>
      </c>
      <c r="W21" s="2">
        <v>537.93215771608072</v>
      </c>
      <c r="X21" s="2">
        <v>539.9557772496297</v>
      </c>
      <c r="Y21" s="2">
        <v>545.0756391573459</v>
      </c>
      <c r="Z21" s="2">
        <v>544.71988021000095</v>
      </c>
      <c r="AA21" s="8">
        <v>535.83150186305465</v>
      </c>
      <c r="AB21" s="2">
        <v>543.68282437338462</v>
      </c>
      <c r="AC21" s="2">
        <v>537.34501382750022</v>
      </c>
      <c r="AD21" s="2">
        <v>540.917092193386</v>
      </c>
      <c r="AE21" s="2">
        <v>542.40490089847049</v>
      </c>
      <c r="AF21" s="2">
        <v>544.43360627503125</v>
      </c>
      <c r="AG21" s="2">
        <v>547.69416396761937</v>
      </c>
      <c r="AH21" s="2">
        <v>554.69102256870258</v>
      </c>
      <c r="AI21" s="2">
        <v>556.4010529490663</v>
      </c>
      <c r="AJ21" s="2">
        <v>563.07946490872223</v>
      </c>
      <c r="AK21" s="2">
        <v>568.61197223040858</v>
      </c>
      <c r="AL21" s="2">
        <v>577.01488482078184</v>
      </c>
      <c r="AM21" s="2">
        <v>583.97783144114874</v>
      </c>
      <c r="AN21" s="8">
        <v>555.02115253785178</v>
      </c>
      <c r="AO21" s="2">
        <v>584.68970888737897</v>
      </c>
      <c r="AP21" s="2">
        <v>572.91582253560262</v>
      </c>
      <c r="AQ21" s="2">
        <v>581.12028098490475</v>
      </c>
      <c r="AR21" s="2">
        <v>576.87724509226791</v>
      </c>
      <c r="AS21" s="2">
        <v>579.87524693897285</v>
      </c>
      <c r="AT21" s="2"/>
      <c r="AU21" s="2"/>
      <c r="AV21" s="2"/>
      <c r="AW21" s="2"/>
      <c r="AX21" s="2"/>
      <c r="AY21" s="2"/>
      <c r="AZ21" s="2"/>
    </row>
    <row r="22" spans="1:52" ht="20.399999999999999">
      <c r="A22" s="37" t="s">
        <v>46</v>
      </c>
      <c r="B22" s="2">
        <v>661.69724861126213</v>
      </c>
      <c r="C22" s="2">
        <v>661.6307235304871</v>
      </c>
      <c r="D22" s="2">
        <v>669.24183264976591</v>
      </c>
      <c r="E22" s="2">
        <v>659.36307612069788</v>
      </c>
      <c r="F22" s="2">
        <v>664.60217871126906</v>
      </c>
      <c r="G22" s="2">
        <v>670.81630362893941</v>
      </c>
      <c r="H22" s="2">
        <v>674.52218488255937</v>
      </c>
      <c r="I22" s="2">
        <v>674.1394912564308</v>
      </c>
      <c r="J22" s="2">
        <v>666.83304058073475</v>
      </c>
      <c r="K22" s="2">
        <v>675.36659433563557</v>
      </c>
      <c r="L22" s="2">
        <v>677.01208433475938</v>
      </c>
      <c r="M22" s="2">
        <v>605.67378621633668</v>
      </c>
      <c r="N22" s="8">
        <v>663.40821207157308</v>
      </c>
      <c r="O22" s="2">
        <v>609.77234282151085</v>
      </c>
      <c r="P22" s="2">
        <v>603.72689789597075</v>
      </c>
      <c r="Q22" s="2">
        <v>608.22977046282745</v>
      </c>
      <c r="R22" s="2">
        <v>606.79459791328463</v>
      </c>
      <c r="S22" s="2">
        <v>603.57714940195808</v>
      </c>
      <c r="T22" s="2">
        <v>612.25757948044043</v>
      </c>
      <c r="U22" s="2">
        <v>611.40348666278601</v>
      </c>
      <c r="V22" s="2">
        <v>623.60788042989532</v>
      </c>
      <c r="W22" s="2">
        <v>614.78657640500751</v>
      </c>
      <c r="X22" s="2">
        <v>616.05495918613838</v>
      </c>
      <c r="Y22" s="2">
        <v>621.78692534644267</v>
      </c>
      <c r="Z22" s="2">
        <v>619.68481603751604</v>
      </c>
      <c r="AA22" s="8">
        <v>612.64024850364819</v>
      </c>
      <c r="AB22" s="2">
        <v>618.29553553165033</v>
      </c>
      <c r="AC22" s="2">
        <v>613.31369990109124</v>
      </c>
      <c r="AD22" s="2">
        <v>615.30522766983154</v>
      </c>
      <c r="AE22" s="2">
        <v>617.53703198059316</v>
      </c>
      <c r="AF22" s="2">
        <v>618.7284737225059</v>
      </c>
      <c r="AG22" s="2">
        <v>622.16449645769944</v>
      </c>
      <c r="AH22" s="2">
        <v>626.05944670625013</v>
      </c>
      <c r="AI22" s="2">
        <v>623.30287997918401</v>
      </c>
      <c r="AJ22" s="2">
        <v>626.53924482266223</v>
      </c>
      <c r="AK22" s="2">
        <v>627.20894052395511</v>
      </c>
      <c r="AL22" s="2">
        <v>633.40964012150471</v>
      </c>
      <c r="AM22" s="2">
        <v>635.93482502240715</v>
      </c>
      <c r="AN22" s="8">
        <v>623.14995353661118</v>
      </c>
      <c r="AO22" s="2">
        <v>634.46127539345116</v>
      </c>
      <c r="AP22" s="2">
        <v>622.61731573930069</v>
      </c>
      <c r="AQ22" s="2">
        <v>630.55416648426137</v>
      </c>
      <c r="AR22" s="2">
        <v>627.24311914091652</v>
      </c>
      <c r="AS22" s="2">
        <v>630.04511759268269</v>
      </c>
      <c r="AT22" s="2"/>
      <c r="AU22" s="2"/>
      <c r="AV22" s="2"/>
      <c r="AW22" s="2"/>
      <c r="AX22" s="2"/>
      <c r="AY22" s="2"/>
      <c r="AZ22" s="2"/>
    </row>
    <row r="23" spans="1:52" ht="20.399999999999999">
      <c r="A23" s="37" t="s">
        <v>52</v>
      </c>
      <c r="B23" s="2">
        <v>693.34613913242822</v>
      </c>
      <c r="C23" s="2">
        <v>694.12061539371211</v>
      </c>
      <c r="D23" s="2">
        <v>702.80710045321212</v>
      </c>
      <c r="E23" s="2">
        <v>693.29255282518056</v>
      </c>
      <c r="F23" s="2">
        <v>699.75406440264044</v>
      </c>
      <c r="G23" s="2">
        <v>707.97576844905961</v>
      </c>
      <c r="H23" s="2">
        <v>714.76132002632824</v>
      </c>
      <c r="I23" s="2">
        <v>717.11681826595873</v>
      </c>
      <c r="J23" s="2">
        <v>712.25426528035507</v>
      </c>
      <c r="K23" s="2">
        <v>723.85214231166265</v>
      </c>
      <c r="L23" s="2">
        <v>726.33426536896673</v>
      </c>
      <c r="M23" s="2">
        <v>649.14256982499933</v>
      </c>
      <c r="N23" s="8">
        <v>702.89646847787526</v>
      </c>
      <c r="O23" s="2">
        <v>654.49522991291235</v>
      </c>
      <c r="P23" s="2">
        <v>649.37228285512037</v>
      </c>
      <c r="Q23" s="2">
        <v>655.34504347011512</v>
      </c>
      <c r="R23" s="2">
        <v>654.01007911980275</v>
      </c>
      <c r="S23" s="2">
        <v>650.78411975441327</v>
      </c>
      <c r="T23" s="2">
        <v>660.41831736147367</v>
      </c>
      <c r="U23" s="2">
        <v>660.04573029642245</v>
      </c>
      <c r="V23" s="2">
        <v>673.64537052663468</v>
      </c>
      <c r="W23" s="2">
        <v>664.47150121155255</v>
      </c>
      <c r="X23" s="2">
        <v>666.17880291531833</v>
      </c>
      <c r="Y23" s="2">
        <v>672.328676801396</v>
      </c>
      <c r="Z23" s="2">
        <v>669.89992564859369</v>
      </c>
      <c r="AA23" s="8">
        <v>660.91910282900994</v>
      </c>
      <c r="AB23" s="2">
        <v>668.50676931736598</v>
      </c>
      <c r="AC23" s="2">
        <v>663.24149849218588</v>
      </c>
      <c r="AD23" s="2">
        <v>665.3614346642081</v>
      </c>
      <c r="AE23" s="2">
        <v>667.78840804566357</v>
      </c>
      <c r="AF23" s="2">
        <v>669.05702559177087</v>
      </c>
      <c r="AG23" s="2">
        <v>672.96295133065303</v>
      </c>
      <c r="AH23" s="2">
        <v>677.28382892608454</v>
      </c>
      <c r="AI23" s="2">
        <v>675.89145087242639</v>
      </c>
      <c r="AJ23" s="2">
        <v>680.82527173898757</v>
      </c>
      <c r="AK23" s="2">
        <v>681.40619872131504</v>
      </c>
      <c r="AL23" s="2">
        <v>688.48382732901575</v>
      </c>
      <c r="AM23" s="2">
        <v>691.66686365820283</v>
      </c>
      <c r="AN23" s="8">
        <v>675.20629405732336</v>
      </c>
      <c r="AO23" s="2">
        <v>691.7920795445923</v>
      </c>
      <c r="AP23" s="2">
        <v>680.47024684164398</v>
      </c>
      <c r="AQ23" s="2">
        <v>689.29604251196565</v>
      </c>
      <c r="AR23" s="2">
        <v>686.06582658549132</v>
      </c>
      <c r="AS23" s="2">
        <v>689.92552552707377</v>
      </c>
      <c r="AT23" s="2"/>
      <c r="AU23" s="2"/>
      <c r="AV23" s="2"/>
      <c r="AW23" s="2"/>
      <c r="AX23" s="2"/>
      <c r="AY23" s="2"/>
      <c r="AZ23" s="2"/>
    </row>
    <row r="24" spans="1:52" ht="21" thickBot="1">
      <c r="A24" s="64" t="s">
        <v>53</v>
      </c>
      <c r="B24" s="5">
        <v>803.30206864574575</v>
      </c>
      <c r="C24" s="5">
        <v>811.38065143782944</v>
      </c>
      <c r="D24" s="5">
        <v>813.8607423664123</v>
      </c>
      <c r="E24" s="5">
        <v>817.58748887889726</v>
      </c>
      <c r="F24" s="5">
        <v>821.20372104447154</v>
      </c>
      <c r="G24" s="5">
        <v>834.93053747111708</v>
      </c>
      <c r="H24" s="5">
        <v>826.3878152769571</v>
      </c>
      <c r="I24" s="5">
        <v>829.8283156927871</v>
      </c>
      <c r="J24" s="5">
        <v>819.10438856624864</v>
      </c>
      <c r="K24" s="5">
        <v>838.78708975528389</v>
      </c>
      <c r="L24" s="5">
        <v>845.15647248350058</v>
      </c>
      <c r="M24" s="5">
        <v>855.95471460417593</v>
      </c>
      <c r="N24" s="62">
        <v>826.45700051861877</v>
      </c>
      <c r="O24" s="5">
        <v>870.33807123443523</v>
      </c>
      <c r="P24" s="5">
        <v>871.05027180106106</v>
      </c>
      <c r="Q24" s="5">
        <v>877.60497662236401</v>
      </c>
      <c r="R24" s="5">
        <v>881.39186338663694</v>
      </c>
      <c r="S24" s="5">
        <v>885.71502509755703</v>
      </c>
      <c r="T24" s="5">
        <v>892.79693975199496</v>
      </c>
      <c r="U24" s="5">
        <v>897.35496235482753</v>
      </c>
      <c r="V24" s="5">
        <v>900.62635143258672</v>
      </c>
      <c r="W24" s="5">
        <v>901.59461960118233</v>
      </c>
      <c r="X24" s="5">
        <v>903.0529802670352</v>
      </c>
      <c r="Y24" s="5">
        <v>902.59940933350845</v>
      </c>
      <c r="Z24" s="5">
        <v>908.92074439172313</v>
      </c>
      <c r="AA24" s="62">
        <v>891.08718460624277</v>
      </c>
      <c r="AB24" s="5">
        <v>910.18508679817444</v>
      </c>
      <c r="AC24" s="5">
        <v>916.79599967143076</v>
      </c>
      <c r="AD24" s="5">
        <v>918.50570638441957</v>
      </c>
      <c r="AE24" s="5">
        <v>917.89285139501578</v>
      </c>
      <c r="AF24" s="5">
        <v>924.3365129013506</v>
      </c>
      <c r="AG24" s="5">
        <v>924.22265358879361</v>
      </c>
      <c r="AH24" s="5">
        <v>926.92792507225579</v>
      </c>
      <c r="AI24" s="5">
        <v>934.58544953457636</v>
      </c>
      <c r="AJ24" s="5">
        <v>941.15259131208177</v>
      </c>
      <c r="AK24" s="5">
        <v>934.45780004059202</v>
      </c>
      <c r="AL24" s="5">
        <v>942.20929498903195</v>
      </c>
      <c r="AM24" s="5">
        <v>935.9773899421258</v>
      </c>
      <c r="AN24" s="62">
        <v>927.2707718024875</v>
      </c>
      <c r="AO24" s="5">
        <v>940.96548270347625</v>
      </c>
      <c r="AP24" s="5">
        <v>941.06265254762434</v>
      </c>
      <c r="AQ24" s="5">
        <v>948.85343623473796</v>
      </c>
      <c r="AR24" s="5">
        <v>943.03033958494689</v>
      </c>
      <c r="AS24" s="5">
        <v>948.24655115891437</v>
      </c>
      <c r="AT24" s="5"/>
      <c r="AU24" s="5"/>
      <c r="AV24" s="5"/>
      <c r="AW24" s="5"/>
      <c r="AX24" s="5"/>
      <c r="AY24" s="5"/>
      <c r="AZ24" s="5"/>
    </row>
    <row r="25" spans="1:52" ht="7.5" customHeight="1" thickTop="1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63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63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63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</row>
    <row r="26" spans="1:52" ht="20.399999999999999">
      <c r="A26" s="37" t="s">
        <v>54</v>
      </c>
      <c r="B26" s="3">
        <v>1.8884364053426486E-2</v>
      </c>
      <c r="C26" s="3">
        <v>1.4888829905000775E-2</v>
      </c>
      <c r="D26" s="3">
        <v>1.5644843054351973E-2</v>
      </c>
      <c r="E26" s="3">
        <v>1.5487331998384986E-2</v>
      </c>
      <c r="F26" s="3">
        <v>1.7308971595664725E-2</v>
      </c>
      <c r="G26" s="3">
        <v>1.8399010196011631E-2</v>
      </c>
      <c r="H26" s="3">
        <v>1.8545878850300582E-2</v>
      </c>
      <c r="I26" s="3">
        <v>1.5322175639708236E-2</v>
      </c>
      <c r="J26" s="3">
        <v>1.6144528249289195E-2</v>
      </c>
      <c r="K26" s="3">
        <v>1.4750866481204425E-2</v>
      </c>
      <c r="L26" s="3">
        <v>1.5524314437232878E-2</v>
      </c>
      <c r="M26" s="3">
        <v>2.6910367460722451E-2</v>
      </c>
      <c r="N26" s="9">
        <v>1.7317623493441524E-2</v>
      </c>
      <c r="O26" s="3">
        <v>1.9801079882597966E-2</v>
      </c>
      <c r="P26" s="3">
        <v>2.0698117416129116E-2</v>
      </c>
      <c r="Q26" s="3">
        <v>1.6463968153503046E-2</v>
      </c>
      <c r="R26" s="3">
        <v>1.5473076551264311E-2</v>
      </c>
      <c r="S26" s="3">
        <v>1.5982267065315425E-2</v>
      </c>
      <c r="T26" s="3">
        <v>1.5262152745926107E-2</v>
      </c>
      <c r="U26" s="3">
        <v>1.5307045139914299E-2</v>
      </c>
      <c r="V26" s="3">
        <v>1.5496215629705379E-2</v>
      </c>
      <c r="W26" s="3">
        <v>1.6461141453565854E-2</v>
      </c>
      <c r="X26" s="3">
        <v>1.5530699440057841E-2</v>
      </c>
      <c r="Y26" s="3">
        <v>1.4778228887073289E-2</v>
      </c>
      <c r="Z26" s="3">
        <v>1.4521098801845369E-2</v>
      </c>
      <c r="AA26" s="9">
        <v>1.6314590930574833E-2</v>
      </c>
      <c r="AB26" s="3">
        <v>1.2938813306417536E-2</v>
      </c>
      <c r="AC26" s="3">
        <v>1.126838726368201E-2</v>
      </c>
      <c r="AD26" s="3">
        <v>1.3956894762464195E-2</v>
      </c>
      <c r="AE26" s="3">
        <v>1.2837601118270382E-2</v>
      </c>
      <c r="AF26" s="3">
        <v>1.3412400663839637E-2</v>
      </c>
      <c r="AG26" s="3">
        <v>1.4676649874110787E-2</v>
      </c>
      <c r="AH26" s="3">
        <v>1.8785194982433463E-2</v>
      </c>
      <c r="AI26" s="3">
        <v>2.0260527047044664E-2</v>
      </c>
      <c r="AJ26" s="3">
        <v>2.0908620689655173E-2</v>
      </c>
      <c r="AK26" s="3">
        <v>1.9759954216622955E-2</v>
      </c>
      <c r="AL26" s="3">
        <v>1.7054621828430944E-2</v>
      </c>
      <c r="AM26" s="3">
        <v>1.9557852462300039E-2</v>
      </c>
      <c r="AN26" s="9">
        <v>1.6284793184605986E-2</v>
      </c>
      <c r="AO26" s="3">
        <v>1.3287243845664988E-2</v>
      </c>
      <c r="AP26" s="3">
        <v>9.7273437442630135E-3</v>
      </c>
      <c r="AQ26" s="3">
        <v>1.1891721652928768E-2</v>
      </c>
      <c r="AR26" s="3">
        <v>1.1738603353705314E-2</v>
      </c>
      <c r="AS26" s="3">
        <v>1.1493343382744428E-2</v>
      </c>
      <c r="AT26" s="3"/>
      <c r="AU26" s="3"/>
      <c r="AV26" s="3"/>
      <c r="AW26" s="3"/>
      <c r="AX26" s="3"/>
      <c r="AY26" s="3"/>
      <c r="AZ26" s="3"/>
    </row>
    <row r="27" spans="1:52" ht="21" thickBot="1">
      <c r="A27" s="65" t="s">
        <v>55</v>
      </c>
      <c r="B27" s="66">
        <v>6.6367049902728821E-3</v>
      </c>
      <c r="C27" s="66">
        <v>6.4629936799637392E-3</v>
      </c>
      <c r="D27" s="66">
        <v>8.1191736062242673E-3</v>
      </c>
      <c r="E27" s="66">
        <v>7.0464175234516849E-3</v>
      </c>
      <c r="F27" s="66">
        <v>7.3211341590053479E-3</v>
      </c>
      <c r="G27" s="66">
        <v>8.3200521593831886E-3</v>
      </c>
      <c r="H27" s="66">
        <v>1.1596606201945284E-2</v>
      </c>
      <c r="I27" s="66">
        <v>6.26521065683853E-3</v>
      </c>
      <c r="J27" s="66">
        <v>6.5469803437851999E-3</v>
      </c>
      <c r="K27" s="66">
        <v>6.8339038657825313E-3</v>
      </c>
      <c r="L27" s="66">
        <v>6.8531391695743106E-3</v>
      </c>
      <c r="M27" s="66">
        <v>1.6840488340491531E-2</v>
      </c>
      <c r="N27" s="67">
        <v>8.2369003913932079E-3</v>
      </c>
      <c r="O27" s="66">
        <v>7.0275312263801976E-3</v>
      </c>
      <c r="P27" s="66">
        <v>6.4717137449664831E-3</v>
      </c>
      <c r="Q27" s="66">
        <v>7.3350965538038718E-3</v>
      </c>
      <c r="R27" s="66">
        <v>6.7594877599694994E-3</v>
      </c>
      <c r="S27" s="66">
        <v>7.3000633914945771E-3</v>
      </c>
      <c r="T27" s="66">
        <v>6.5145476576989507E-3</v>
      </c>
      <c r="U27" s="66">
        <v>6.5615025519114942E-3</v>
      </c>
      <c r="V27" s="66">
        <v>6.7822986431518104E-3</v>
      </c>
      <c r="W27" s="66">
        <v>9.3300812293815056E-3</v>
      </c>
      <c r="X27" s="66">
        <v>7.0095950492436313E-3</v>
      </c>
      <c r="Y27" s="66">
        <v>7.0750834941061304E-3</v>
      </c>
      <c r="Z27" s="66">
        <v>7.4584060300942031E-3</v>
      </c>
      <c r="AA27" s="67">
        <v>7.1354506110168628E-3</v>
      </c>
      <c r="AB27" s="66">
        <v>5.8371938355294729E-3</v>
      </c>
      <c r="AC27" s="66">
        <v>5.8375148743915689E-3</v>
      </c>
      <c r="AD27" s="66">
        <v>6.3346830704843551E-3</v>
      </c>
      <c r="AE27" s="66">
        <v>5.7696980323590453E-3</v>
      </c>
      <c r="AF27" s="66">
        <v>6.026834416326469E-3</v>
      </c>
      <c r="AG27" s="66">
        <v>6.0310268432867669E-3</v>
      </c>
      <c r="AH27" s="66">
        <v>5.800064588744853E-3</v>
      </c>
      <c r="AI27" s="66">
        <v>5.8300849420035092E-3</v>
      </c>
      <c r="AJ27" s="66">
        <v>6.4981886164816906E-3</v>
      </c>
      <c r="AK27" s="66">
        <v>6.558781522584556E-3</v>
      </c>
      <c r="AL27" s="66">
        <v>5.7144273738705155E-3</v>
      </c>
      <c r="AM27" s="66">
        <v>5.4792464949195664E-3</v>
      </c>
      <c r="AN27" s="67">
        <v>5.9764787175818649E-3</v>
      </c>
      <c r="AO27" s="66">
        <v>5.3450440784875439E-3</v>
      </c>
      <c r="AP27" s="66">
        <v>4.2758767236779696E-3</v>
      </c>
      <c r="AQ27" s="66">
        <v>5.6354585229788983E-3</v>
      </c>
      <c r="AR27" s="66">
        <v>5.2572292118317912E-3</v>
      </c>
      <c r="AS27" s="66">
        <v>5.1199859928188875E-3</v>
      </c>
      <c r="AT27" s="66"/>
      <c r="AU27" s="66"/>
      <c r="AV27" s="66"/>
      <c r="AW27" s="66"/>
      <c r="AX27" s="66"/>
      <c r="AY27" s="66"/>
      <c r="AZ27" s="66"/>
    </row>
    <row r="28" spans="1:52" ht="20.399999999999999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</row>
    <row r="29" spans="1:52" ht="21" thickBot="1">
      <c r="A29" s="6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</row>
    <row r="30" spans="1:52" ht="50.1" customHeight="1" thickBot="1">
      <c r="A30" s="31" t="s">
        <v>56</v>
      </c>
      <c r="B30" s="32">
        <v>44927</v>
      </c>
      <c r="C30" s="32">
        <v>44958</v>
      </c>
      <c r="D30" s="32">
        <v>44986</v>
      </c>
      <c r="E30" s="32">
        <v>45017</v>
      </c>
      <c r="F30" s="32">
        <v>45047</v>
      </c>
      <c r="G30" s="32">
        <v>45078</v>
      </c>
      <c r="H30" s="32">
        <v>45108</v>
      </c>
      <c r="I30" s="32">
        <v>45139</v>
      </c>
      <c r="J30" s="32">
        <v>45170</v>
      </c>
      <c r="K30" s="32">
        <v>45200</v>
      </c>
      <c r="L30" s="32">
        <v>45231</v>
      </c>
      <c r="M30" s="32">
        <v>45261</v>
      </c>
      <c r="N30" s="33" t="s">
        <v>33</v>
      </c>
      <c r="O30" s="34">
        <v>45292</v>
      </c>
      <c r="P30" s="32">
        <v>45323</v>
      </c>
      <c r="Q30" s="32">
        <v>45352</v>
      </c>
      <c r="R30" s="69">
        <v>45383</v>
      </c>
      <c r="S30" s="69">
        <v>45413</v>
      </c>
      <c r="T30" s="69">
        <v>45444</v>
      </c>
      <c r="U30" s="69">
        <v>45474</v>
      </c>
      <c r="V30" s="32">
        <v>45505</v>
      </c>
      <c r="W30" s="32">
        <v>45536</v>
      </c>
      <c r="X30" s="69">
        <v>45566</v>
      </c>
      <c r="Y30" s="69">
        <v>45597</v>
      </c>
      <c r="Z30" s="32">
        <v>45627</v>
      </c>
      <c r="AA30" s="35" t="s">
        <v>249</v>
      </c>
      <c r="AB30" s="34">
        <v>45658</v>
      </c>
      <c r="AC30" s="32">
        <v>45689</v>
      </c>
      <c r="AD30" s="32">
        <v>45717</v>
      </c>
      <c r="AE30" s="32">
        <v>45748</v>
      </c>
      <c r="AF30" s="32">
        <v>45778</v>
      </c>
      <c r="AG30" s="32">
        <v>45809</v>
      </c>
      <c r="AH30" s="32">
        <v>45839</v>
      </c>
      <c r="AI30" s="32">
        <v>45870</v>
      </c>
      <c r="AJ30" s="32">
        <v>45901</v>
      </c>
      <c r="AK30" s="32">
        <v>45931</v>
      </c>
      <c r="AL30" s="32">
        <v>45962</v>
      </c>
      <c r="AM30" s="32">
        <v>45992</v>
      </c>
      <c r="AN30" s="35" t="s">
        <v>250</v>
      </c>
      <c r="AO30" s="34">
        <v>46023</v>
      </c>
      <c r="AP30" s="32">
        <v>46054</v>
      </c>
      <c r="AQ30" s="32">
        <v>46082</v>
      </c>
      <c r="AR30" s="32">
        <v>46113</v>
      </c>
      <c r="AS30" s="32">
        <v>46143</v>
      </c>
      <c r="AT30" s="34"/>
      <c r="AU30" s="34"/>
      <c r="AV30" s="34"/>
      <c r="AW30" s="34"/>
      <c r="AX30" s="34"/>
      <c r="AY30" s="34"/>
      <c r="AZ30" s="34"/>
    </row>
    <row r="31" spans="1:52" ht="21" customHeight="1" thickTop="1" thickBot="1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9"/>
      <c r="O31" s="148"/>
      <c r="P31" s="148"/>
      <c r="Q31" s="148"/>
      <c r="R31" s="150"/>
      <c r="S31" s="150"/>
      <c r="T31" s="150"/>
      <c r="U31" s="150"/>
      <c r="V31" s="148"/>
      <c r="W31" s="148"/>
      <c r="X31" s="150"/>
      <c r="Y31" s="150"/>
      <c r="Z31" s="148"/>
      <c r="AA31" s="151"/>
      <c r="AB31" s="148"/>
      <c r="AC31" s="148"/>
      <c r="AD31" s="148"/>
      <c r="AE31" s="2"/>
      <c r="AF31" s="2"/>
      <c r="AG31" s="2"/>
      <c r="AH31" s="2"/>
      <c r="AI31" s="2"/>
      <c r="AJ31" s="2"/>
      <c r="AK31" s="2"/>
      <c r="AL31" s="2"/>
      <c r="AM31" s="2"/>
      <c r="AN31" s="8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21" thickTop="1">
      <c r="A32" s="70" t="s">
        <v>57</v>
      </c>
      <c r="B32" s="7">
        <v>14814.979313112899</v>
      </c>
      <c r="C32" s="7">
        <v>13735.482890977801</v>
      </c>
      <c r="D32" s="2">
        <v>14464.875976774299</v>
      </c>
      <c r="E32" s="2">
        <v>13685.917272225099</v>
      </c>
      <c r="F32" s="2">
        <v>14776.8409662383</v>
      </c>
      <c r="G32" s="2">
        <v>15083.560642738301</v>
      </c>
      <c r="H32" s="2">
        <v>14274.763563082599</v>
      </c>
      <c r="I32" s="2">
        <v>14561.723196991399</v>
      </c>
      <c r="J32" s="2">
        <v>14350.5652457043</v>
      </c>
      <c r="K32" s="2">
        <v>14817.542416784001</v>
      </c>
      <c r="L32" s="2">
        <v>21700.686301605401</v>
      </c>
      <c r="M32" s="2">
        <v>17080.886801372901</v>
      </c>
      <c r="N32" s="8">
        <v>183347.82458760729</v>
      </c>
      <c r="O32" s="2">
        <v>16958.579452999998</v>
      </c>
      <c r="P32" s="2">
        <v>15247.917868</v>
      </c>
      <c r="Q32" s="2">
        <v>16070.134168</v>
      </c>
      <c r="R32" s="2">
        <v>15042.778586</v>
      </c>
      <c r="S32" s="2">
        <v>16031.947122</v>
      </c>
      <c r="T32" s="2">
        <v>16669.169867000001</v>
      </c>
      <c r="U32" s="2">
        <v>15470.631192000001</v>
      </c>
      <c r="V32" s="2">
        <v>15817.810332999999</v>
      </c>
      <c r="W32" s="2">
        <v>15913.075638</v>
      </c>
      <c r="X32" s="2">
        <v>15929.971154999999</v>
      </c>
      <c r="Y32" s="2">
        <v>23065.358815</v>
      </c>
      <c r="Z32" s="2">
        <v>17156.530975000001</v>
      </c>
      <c r="AA32" s="8">
        <v>199373.905172</v>
      </c>
      <c r="AB32" s="2">
        <v>16461.916163000002</v>
      </c>
      <c r="AC32" s="2">
        <v>15528.062521</v>
      </c>
      <c r="AD32" s="2">
        <v>16177.374327</v>
      </c>
      <c r="AE32" s="2">
        <v>15393.306404999999</v>
      </c>
      <c r="AF32" s="2">
        <v>15823.031730000001</v>
      </c>
      <c r="AG32" s="2">
        <v>16254.676384</v>
      </c>
      <c r="AH32" s="2">
        <v>15092.708366000001</v>
      </c>
      <c r="AI32" s="2">
        <v>15468.138074</v>
      </c>
      <c r="AJ32" s="2">
        <v>15778.960085000001</v>
      </c>
      <c r="AK32" s="2">
        <v>15624.962855965901</v>
      </c>
      <c r="AL32" s="2">
        <v>23112.129747400701</v>
      </c>
      <c r="AM32" s="2">
        <v>18049.316333740899</v>
      </c>
      <c r="AN32" s="8">
        <v>198764.58299210749</v>
      </c>
      <c r="AO32" s="2">
        <v>17145.4583278928</v>
      </c>
      <c r="AP32" s="2">
        <v>15523.5543110693</v>
      </c>
      <c r="AQ32" s="2">
        <v>17109.2901424093</v>
      </c>
      <c r="AR32" s="2">
        <v>15669.304640660601</v>
      </c>
      <c r="AS32" s="2">
        <v>16440.6828232767</v>
      </c>
      <c r="AT32" s="2"/>
      <c r="AU32" s="2"/>
      <c r="AV32" s="2"/>
      <c r="AW32" s="2"/>
      <c r="AX32" s="2"/>
      <c r="AY32" s="2"/>
      <c r="AZ32" s="2"/>
    </row>
    <row r="33" spans="1:52" ht="20.399999999999999">
      <c r="A33" s="70" t="s">
        <v>58</v>
      </c>
      <c r="B33" s="2">
        <v>2886.7427441129576</v>
      </c>
      <c r="C33" s="2">
        <v>2839.2053132014084</v>
      </c>
      <c r="D33" s="2">
        <v>2956.4666558637318</v>
      </c>
      <c r="E33" s="2">
        <v>2856.6369866390278</v>
      </c>
      <c r="F33" s="2">
        <v>2954.8399979825117</v>
      </c>
      <c r="G33" s="2">
        <v>3095.2013175474913</v>
      </c>
      <c r="H33" s="2">
        <v>2961.5653297105073</v>
      </c>
      <c r="I33" s="2">
        <v>2953.7083905602676</v>
      </c>
      <c r="J33" s="2">
        <v>2834.8833820995637</v>
      </c>
      <c r="K33" s="2">
        <v>2830.6089718462945</v>
      </c>
      <c r="L33" s="2">
        <v>3099.4616046065066</v>
      </c>
      <c r="M33" s="2">
        <v>3519.4082976077098</v>
      </c>
      <c r="N33" s="8">
        <v>35788.728991777978</v>
      </c>
      <c r="O33" s="2">
        <v>3675.2648120542099</v>
      </c>
      <c r="P33" s="2">
        <v>3331.656375780296</v>
      </c>
      <c r="Q33" s="2">
        <v>3580.5579168399317</v>
      </c>
      <c r="R33" s="2">
        <v>3484.0873929574946</v>
      </c>
      <c r="S33" s="2">
        <v>3490.7400825319337</v>
      </c>
      <c r="T33" s="2">
        <v>3611.58500357804</v>
      </c>
      <c r="U33" s="2">
        <v>3513.0107502023302</v>
      </c>
      <c r="V33" s="2">
        <v>3562.6663288240024</v>
      </c>
      <c r="W33" s="2">
        <v>3446.191014701747</v>
      </c>
      <c r="X33" s="2">
        <v>3472.3096040193809</v>
      </c>
      <c r="Y33" s="2">
        <v>3855.3619639505409</v>
      </c>
      <c r="Z33" s="2">
        <v>3496.6581567499206</v>
      </c>
      <c r="AA33" s="8">
        <v>42520.089402189828</v>
      </c>
      <c r="AB33" s="2">
        <v>3590.6773457600002</v>
      </c>
      <c r="AC33" s="2">
        <v>3469.5615505199999</v>
      </c>
      <c r="AD33" s="2">
        <v>3494.1166316700001</v>
      </c>
      <c r="AE33" s="2">
        <v>3437.97506208</v>
      </c>
      <c r="AF33" s="2">
        <v>3496.4752810500004</v>
      </c>
      <c r="AG33" s="2">
        <v>3654.4694887799997</v>
      </c>
      <c r="AH33" s="2">
        <v>3575.9518948099999</v>
      </c>
      <c r="AI33" s="2">
        <v>3561.4542377600001</v>
      </c>
      <c r="AJ33" s="2">
        <v>3492.8313839799998</v>
      </c>
      <c r="AK33" s="2">
        <v>3407.5550666614872</v>
      </c>
      <c r="AL33" s="2">
        <v>4029.7603394144553</v>
      </c>
      <c r="AM33" s="2">
        <v>3959.8724042587664</v>
      </c>
      <c r="AN33" s="8">
        <v>43170.700686744705</v>
      </c>
      <c r="AO33" s="2">
        <v>3871.9102707281095</v>
      </c>
      <c r="AP33" s="2">
        <v>3584.6630197037744</v>
      </c>
      <c r="AQ33" s="2">
        <v>3897.3167079579689</v>
      </c>
      <c r="AR33" s="2">
        <v>3787.6145088975177</v>
      </c>
      <c r="AS33" s="2">
        <v>3834.4210230375375</v>
      </c>
      <c r="AT33" s="2"/>
      <c r="AU33" s="2"/>
      <c r="AV33" s="2"/>
      <c r="AW33" s="2"/>
      <c r="AX33" s="2"/>
      <c r="AY33" s="2"/>
      <c r="AZ33" s="2"/>
    </row>
    <row r="34" spans="1:52" ht="20.399999999999999">
      <c r="A34" s="70" t="s">
        <v>59</v>
      </c>
      <c r="B34" s="2">
        <v>1421.5407528286526</v>
      </c>
      <c r="C34" s="2">
        <v>1376.0586000116823</v>
      </c>
      <c r="D34" s="2">
        <v>1491.9939769261409</v>
      </c>
      <c r="E34" s="2">
        <v>1384.1967241857435</v>
      </c>
      <c r="F34" s="2">
        <v>1480.0763077923666</v>
      </c>
      <c r="G34" s="2">
        <v>1616.018786373751</v>
      </c>
      <c r="H34" s="2">
        <v>1477.8705574498545</v>
      </c>
      <c r="I34" s="2">
        <v>1470.0406251612394</v>
      </c>
      <c r="J34" s="2">
        <v>1349.7683944701269</v>
      </c>
      <c r="K34" s="2">
        <v>1345.4326381344545</v>
      </c>
      <c r="L34" s="2">
        <v>1598.676530014546</v>
      </c>
      <c r="M34" s="2">
        <v>1533.0298432011077</v>
      </c>
      <c r="N34" s="8">
        <v>17544.703736549665</v>
      </c>
      <c r="O34" s="2">
        <v>1658.16203305421</v>
      </c>
      <c r="P34" s="2">
        <v>1356.9527457802958</v>
      </c>
      <c r="Q34" s="2">
        <v>1640.1840468399319</v>
      </c>
      <c r="R34" s="2">
        <v>1588.2350839574949</v>
      </c>
      <c r="S34" s="2">
        <v>1601.455290531934</v>
      </c>
      <c r="T34" s="2">
        <v>1761.2851465780402</v>
      </c>
      <c r="U34" s="2">
        <v>1691.2152622023302</v>
      </c>
      <c r="V34" s="2">
        <v>1798.288207824002</v>
      </c>
      <c r="W34" s="2">
        <v>1686.4044807017469</v>
      </c>
      <c r="X34" s="2">
        <v>1704.8238500193811</v>
      </c>
      <c r="Y34" s="2">
        <v>2032.1162649505411</v>
      </c>
      <c r="Z34" s="2">
        <v>1731.3534577499208</v>
      </c>
      <c r="AA34" s="8">
        <v>20250.475870189828</v>
      </c>
      <c r="AB34" s="2">
        <v>1781.36365576</v>
      </c>
      <c r="AC34" s="2">
        <v>1668.8928625199999</v>
      </c>
      <c r="AD34" s="2">
        <v>1699.30144967</v>
      </c>
      <c r="AE34" s="2">
        <v>1630.7074920799998</v>
      </c>
      <c r="AF34" s="2">
        <v>1691.6897090499999</v>
      </c>
      <c r="AG34" s="2">
        <v>1846.0868567800001</v>
      </c>
      <c r="AH34" s="2">
        <v>1733.4937008099998</v>
      </c>
      <c r="AI34" s="2">
        <v>1725.4035397600003</v>
      </c>
      <c r="AJ34" s="2">
        <v>1665.11679598</v>
      </c>
      <c r="AK34" s="2">
        <v>1607.5062628987503</v>
      </c>
      <c r="AL34" s="2">
        <v>2231.4726118074723</v>
      </c>
      <c r="AM34" s="2">
        <v>2169.0488130166996</v>
      </c>
      <c r="AN34" s="8">
        <v>21450.083750132922</v>
      </c>
      <c r="AO34" s="2">
        <v>2061.9758667050896</v>
      </c>
      <c r="AP34" s="2">
        <v>1776.3402778229774</v>
      </c>
      <c r="AQ34" s="2">
        <v>2094.4303055530677</v>
      </c>
      <c r="AR34" s="2">
        <v>1989.4219952585415</v>
      </c>
      <c r="AS34" s="2">
        <v>2043.5706887158929</v>
      </c>
      <c r="AT34" s="2"/>
      <c r="AU34" s="2"/>
      <c r="AV34" s="2"/>
      <c r="AW34" s="2"/>
      <c r="AX34" s="2"/>
      <c r="AY34" s="2"/>
      <c r="AZ34" s="2"/>
    </row>
    <row r="35" spans="1:52" ht="20.399999999999999">
      <c r="A35" s="70" t="s">
        <v>60</v>
      </c>
      <c r="B35" s="2">
        <v>1299.9049425547585</v>
      </c>
      <c r="C35" s="2">
        <v>1339.4022509656781</v>
      </c>
      <c r="D35" s="2">
        <v>1421.3759954576276</v>
      </c>
      <c r="E35" s="2">
        <v>1340.0057987758514</v>
      </c>
      <c r="F35" s="2">
        <v>1399.1265754883877</v>
      </c>
      <c r="G35" s="2">
        <v>1605.5318548507064</v>
      </c>
      <c r="H35" s="2">
        <v>1438.1464860082228</v>
      </c>
      <c r="I35" s="2">
        <v>1408.7778327815297</v>
      </c>
      <c r="J35" s="2">
        <v>1286.1521887809859</v>
      </c>
      <c r="K35" s="2">
        <v>1262.3764565896131</v>
      </c>
      <c r="L35" s="2">
        <v>1493.3648144051799</v>
      </c>
      <c r="M35" s="2">
        <v>2177.1992888846762</v>
      </c>
      <c r="N35" s="8">
        <v>17471.364485543218</v>
      </c>
      <c r="O35" s="2">
        <v>1566.2901067233699</v>
      </c>
      <c r="P35" s="2">
        <v>1259.4209372976484</v>
      </c>
      <c r="Q35" s="2">
        <v>1496.0922502976041</v>
      </c>
      <c r="R35" s="2">
        <v>1490.0255213875189</v>
      </c>
      <c r="S35" s="2">
        <v>1449.342648082752</v>
      </c>
      <c r="T35" s="2">
        <v>1619.379672085287</v>
      </c>
      <c r="U35" s="2">
        <v>2472.4765682375887</v>
      </c>
      <c r="V35" s="2">
        <v>1599.7770772182841</v>
      </c>
      <c r="W35" s="2">
        <v>1607.6303730820005</v>
      </c>
      <c r="X35" s="2">
        <v>1637.6719434676802</v>
      </c>
      <c r="Y35" s="2">
        <v>1984.688277855264</v>
      </c>
      <c r="Z35" s="2">
        <v>1349.244904872264</v>
      </c>
      <c r="AA35" s="8">
        <v>19532.04028060726</v>
      </c>
      <c r="AB35" s="2">
        <v>1640.55296686936</v>
      </c>
      <c r="AC35" s="2">
        <v>1560.4297448399911</v>
      </c>
      <c r="AD35" s="2">
        <v>1709.826235036586</v>
      </c>
      <c r="AE35" s="2">
        <v>1445.6730571882629</v>
      </c>
      <c r="AF35" s="2">
        <v>1413.185479348635</v>
      </c>
      <c r="AG35" s="2">
        <v>1694.840251879057</v>
      </c>
      <c r="AH35" s="2">
        <v>1643.4935641498309</v>
      </c>
      <c r="AI35" s="2">
        <v>1689.5503364088274</v>
      </c>
      <c r="AJ35" s="2">
        <v>1559.8871181174468</v>
      </c>
      <c r="AK35" s="2">
        <v>1525.1875373453383</v>
      </c>
      <c r="AL35" s="2">
        <v>2114.7972052509549</v>
      </c>
      <c r="AM35" s="2">
        <v>1945.4287826169489</v>
      </c>
      <c r="AN35" s="8">
        <v>19942.85227905124</v>
      </c>
      <c r="AO35" s="2">
        <v>1964.9514656024783</v>
      </c>
      <c r="AP35" s="2">
        <v>1664.0096952213335</v>
      </c>
      <c r="AQ35" s="2">
        <v>2039.9491334972147</v>
      </c>
      <c r="AR35" s="2">
        <v>1917.3062418036873</v>
      </c>
      <c r="AS35" s="2">
        <v>1968.8559747866409</v>
      </c>
      <c r="AT35" s="2"/>
      <c r="AU35" s="2"/>
      <c r="AV35" s="2"/>
      <c r="AW35" s="2"/>
      <c r="AX35" s="2"/>
      <c r="AY35" s="2"/>
      <c r="AZ35" s="2"/>
    </row>
    <row r="36" spans="1:52" ht="20.399999999999999">
      <c r="A36" s="1" t="s">
        <v>61</v>
      </c>
      <c r="B36" s="3">
        <v>8.7742609360527316E-2</v>
      </c>
      <c r="C36" s="3">
        <v>9.7514027107519399E-2</v>
      </c>
      <c r="D36" s="3">
        <v>9.8263960074035678E-2</v>
      </c>
      <c r="E36" s="3">
        <v>9.7911288817690567E-2</v>
      </c>
      <c r="F36" s="3">
        <v>9.4683740502118946E-2</v>
      </c>
      <c r="G36" s="3">
        <v>0.10644249676044892</v>
      </c>
      <c r="H36" s="3">
        <v>0.10074748206180857</v>
      </c>
      <c r="I36" s="3">
        <v>9.6745269342339762E-2</v>
      </c>
      <c r="J36" s="3">
        <v>8.9623799952129615E-2</v>
      </c>
      <c r="K36" s="3">
        <v>8.5194725352006062E-2</v>
      </c>
      <c r="L36" s="3">
        <v>6.8816478596564104E-2</v>
      </c>
      <c r="M36" s="3">
        <v>0.12746406636859631</v>
      </c>
      <c r="N36" s="9">
        <v>9.5290819647522174E-2</v>
      </c>
      <c r="O36" s="3">
        <v>9.2359746938962553E-2</v>
      </c>
      <c r="P36" s="3">
        <v>8.259625662994477E-2</v>
      </c>
      <c r="Q36" s="3">
        <v>9.3097682611557153E-2</v>
      </c>
      <c r="R36" s="3">
        <v>9.9052546234660033E-2</v>
      </c>
      <c r="S36" s="3">
        <v>9.0403407462208818E-2</v>
      </c>
      <c r="T36" s="3">
        <v>9.7148189442305535E-2</v>
      </c>
      <c r="U36" s="3">
        <v>0.15981743327422401</v>
      </c>
      <c r="V36" s="3">
        <v>0.10113770765608056</v>
      </c>
      <c r="W36" s="3">
        <v>0.1010257482370675</v>
      </c>
      <c r="X36" s="3">
        <v>0.10280445127822206</v>
      </c>
      <c r="Y36" s="3">
        <v>8.6046278047258035E-2</v>
      </c>
      <c r="Z36" s="3">
        <v>7.8643223786810074E-2</v>
      </c>
      <c r="AA36" s="9">
        <v>9.7966884200602664E-2</v>
      </c>
      <c r="AB36" s="3">
        <v>9.9657473080605671E-2</v>
      </c>
      <c r="AC36" s="3">
        <v>0.10049094938468217</v>
      </c>
      <c r="AD36" s="3">
        <v>0.10569244430370199</v>
      </c>
      <c r="AE36" s="3">
        <v>9.3915694208405051E-2</v>
      </c>
      <c r="AF36" s="3">
        <v>8.931192855217987E-2</v>
      </c>
      <c r="AG36" s="3">
        <v>0.10426785571365435</v>
      </c>
      <c r="AH36" s="3">
        <v>0.10889321679680768</v>
      </c>
      <c r="AI36" s="3">
        <v>0.10922777701659837</v>
      </c>
      <c r="AJ36" s="3">
        <v>9.8858676979627247E-2</v>
      </c>
      <c r="AK36" s="3">
        <v>9.7612234435680165E-2</v>
      </c>
      <c r="AL36" s="3">
        <v>9.1501615314737272E-2</v>
      </c>
      <c r="AM36" s="3">
        <v>0.10778407041269576</v>
      </c>
      <c r="AN36" s="9">
        <v>0.10033403325099989</v>
      </c>
      <c r="AO36" s="3">
        <v>0.11460477917967524</v>
      </c>
      <c r="AP36" s="3">
        <v>0.10719257084279898</v>
      </c>
      <c r="AQ36" s="3">
        <v>0.11923049504203174</v>
      </c>
      <c r="AR36" s="3">
        <v>0.12236064622985438</v>
      </c>
      <c r="AS36" s="3">
        <v>0.11975512184926632</v>
      </c>
      <c r="AT36" s="3"/>
      <c r="AU36" s="3"/>
      <c r="AV36" s="3"/>
      <c r="AW36" s="3"/>
      <c r="AX36" s="3"/>
      <c r="AY36" s="3"/>
      <c r="AZ36" s="3"/>
    </row>
    <row r="37" spans="1:52" ht="20.399999999999999">
      <c r="A37" s="1" t="s">
        <v>62</v>
      </c>
      <c r="B37" s="2">
        <v>844.98642313664664</v>
      </c>
      <c r="C37" s="2">
        <v>925.57407000003218</v>
      </c>
      <c r="D37" s="2">
        <v>944.15380600005449</v>
      </c>
      <c r="E37" s="2">
        <v>954.92490100003852</v>
      </c>
      <c r="F37" s="2">
        <v>971.74050399997782</v>
      </c>
      <c r="G37" s="2">
        <v>1108.6137489999633</v>
      </c>
      <c r="H37" s="2">
        <v>1010.5130710001699</v>
      </c>
      <c r="I37" s="2">
        <v>1049.6967429994347</v>
      </c>
      <c r="J37" s="2">
        <v>877.99823800027275</v>
      </c>
      <c r="K37" s="2">
        <v>865.73591499999725</v>
      </c>
      <c r="L37" s="2">
        <v>949.67679400053601</v>
      </c>
      <c r="M37" s="2">
        <v>1770.4948200002432</v>
      </c>
      <c r="N37" s="8">
        <v>12274.109034137367</v>
      </c>
      <c r="O37" s="2">
        <v>1055.3977090000496</v>
      </c>
      <c r="P37" s="2">
        <v>882.42083199999036</v>
      </c>
      <c r="Q37" s="2">
        <v>1030.1014340028462</v>
      </c>
      <c r="R37" s="2">
        <v>1066.9450189969209</v>
      </c>
      <c r="S37" s="2">
        <v>1031.297651999975</v>
      </c>
      <c r="T37" s="2">
        <v>1134.358932000355</v>
      </c>
      <c r="U37" s="2">
        <v>1836.7955140000879</v>
      </c>
      <c r="V37" s="2">
        <v>1153.2636659996854</v>
      </c>
      <c r="W37" s="2">
        <v>1174.3657500001436</v>
      </c>
      <c r="X37" s="2">
        <v>1176.7139150000462</v>
      </c>
      <c r="Y37" s="2">
        <v>1325.7904499998908</v>
      </c>
      <c r="Z37" s="2">
        <v>949.26533899995206</v>
      </c>
      <c r="AA37" s="8">
        <v>13816.716211999945</v>
      </c>
      <c r="AB37" s="2">
        <v>1162.2661580002289</v>
      </c>
      <c r="AC37" s="2">
        <v>1254.865457999329</v>
      </c>
      <c r="AD37" s="2">
        <v>1238.066867000663</v>
      </c>
      <c r="AE37" s="2">
        <v>1043.431722999557</v>
      </c>
      <c r="AF37" s="2">
        <v>1004.8259840001909</v>
      </c>
      <c r="AG37" s="2">
        <v>1240.9328649996</v>
      </c>
      <c r="AH37" s="2">
        <v>1203.2302750005272</v>
      </c>
      <c r="AI37" s="2">
        <v>1262.8929869994395</v>
      </c>
      <c r="AJ37" s="2">
        <v>1144.5772630005497</v>
      </c>
      <c r="AK37" s="2">
        <v>1137.3202419994745</v>
      </c>
      <c r="AL37" s="2">
        <v>1422.7779910009551</v>
      </c>
      <c r="AM37" s="2">
        <v>1322.2062500008969</v>
      </c>
      <c r="AN37" s="8">
        <v>14437.394063001411</v>
      </c>
      <c r="AO37" s="2">
        <v>1406.2327070002282</v>
      </c>
      <c r="AP37" s="2">
        <v>1240.8602099996615</v>
      </c>
      <c r="AQ37" s="2">
        <v>1499.2274300000358</v>
      </c>
      <c r="AR37" s="2">
        <v>1425.7521230004693</v>
      </c>
      <c r="AS37" s="2">
        <v>1516.3125629991519</v>
      </c>
      <c r="AT37" s="2"/>
      <c r="AU37" s="2"/>
      <c r="AV37" s="2"/>
      <c r="AW37" s="2"/>
      <c r="AX37" s="2"/>
      <c r="AY37" s="2"/>
      <c r="AZ37" s="2"/>
    </row>
    <row r="38" spans="1:52" ht="20.399999999999999">
      <c r="A38" s="1" t="s">
        <v>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10">
        <v>4.33</v>
      </c>
      <c r="O38" s="4"/>
      <c r="P38" s="4"/>
      <c r="Q38" s="4"/>
      <c r="R38" s="4"/>
      <c r="S38" s="4"/>
      <c r="T38" s="4">
        <v>0.37</v>
      </c>
      <c r="U38" s="191">
        <v>0.61</v>
      </c>
      <c r="V38" s="4">
        <v>0.38</v>
      </c>
      <c r="W38" s="4">
        <v>0.39</v>
      </c>
      <c r="X38" s="4"/>
      <c r="Y38" s="4"/>
      <c r="Z38" s="4"/>
      <c r="AA38" s="10">
        <v>4.57</v>
      </c>
      <c r="AB38" s="4">
        <v>0.38</v>
      </c>
      <c r="AC38" s="4">
        <v>0.42</v>
      </c>
      <c r="AD38" s="4">
        <v>0.41</v>
      </c>
      <c r="AE38" s="4">
        <v>0.34</v>
      </c>
      <c r="AF38" s="4">
        <v>0.34</v>
      </c>
      <c r="AG38" s="4">
        <v>0.41</v>
      </c>
      <c r="AH38" s="4">
        <v>0.39</v>
      </c>
      <c r="AI38" s="4">
        <v>0.42</v>
      </c>
      <c r="AJ38" s="4">
        <v>0.38</v>
      </c>
      <c r="AK38" s="4">
        <v>0.38</v>
      </c>
      <c r="AL38" s="4">
        <v>0.47</v>
      </c>
      <c r="AM38" s="4">
        <v>0.43</v>
      </c>
      <c r="AN38" s="10">
        <v>4.7699999999999996</v>
      </c>
      <c r="AO38" s="4">
        <v>0.46</v>
      </c>
      <c r="AP38" s="4">
        <v>0.42</v>
      </c>
      <c r="AQ38" s="4">
        <v>0.49</v>
      </c>
      <c r="AR38" s="4">
        <v>0.47</v>
      </c>
      <c r="AS38" s="4">
        <v>0.5</v>
      </c>
      <c r="AT38" s="4"/>
      <c r="AU38" s="4"/>
      <c r="AV38" s="4"/>
      <c r="AW38" s="4"/>
      <c r="AX38" s="4"/>
      <c r="AY38" s="4"/>
      <c r="AZ38" s="4"/>
    </row>
    <row r="39" spans="1:52" s="71" customFormat="1" ht="20.399999999999999">
      <c r="A39" s="1" t="s">
        <v>1</v>
      </c>
      <c r="B39" s="2">
        <v>2820.4820020000002</v>
      </c>
      <c r="C39" s="2">
        <v>2820.4820020000002</v>
      </c>
      <c r="D39" s="2">
        <v>2820.4820020000002</v>
      </c>
      <c r="E39" s="2">
        <v>2820.4820020000002</v>
      </c>
      <c r="F39" s="2">
        <v>2820.4820020000002</v>
      </c>
      <c r="G39" s="2">
        <v>2820.4820020000002</v>
      </c>
      <c r="H39" s="2">
        <v>2820.4820020000002</v>
      </c>
      <c r="I39" s="2">
        <v>2820.4820020000002</v>
      </c>
      <c r="J39" s="2">
        <v>2820.4820020000002</v>
      </c>
      <c r="K39" s="2">
        <v>2820.4820020000002</v>
      </c>
      <c r="L39" s="2">
        <v>2820.4820020000002</v>
      </c>
      <c r="M39" s="2">
        <v>2837.8104250000001</v>
      </c>
      <c r="N39" s="8">
        <v>2837.8104250000001</v>
      </c>
      <c r="O39" s="2">
        <v>3024.5102099999999</v>
      </c>
      <c r="P39" s="2">
        <v>3024.5102099999999</v>
      </c>
      <c r="Q39" s="2">
        <v>3024.5102099999999</v>
      </c>
      <c r="R39" s="2">
        <v>3024.5102099999999</v>
      </c>
      <c r="S39" s="2">
        <v>3024.5102099999999</v>
      </c>
      <c r="T39" s="2">
        <v>3024.5102099999999</v>
      </c>
      <c r="U39" s="2">
        <v>3024.5102099999999</v>
      </c>
      <c r="V39" s="2">
        <v>3024.5102099999999</v>
      </c>
      <c r="W39" s="2">
        <v>3024.5102099999999</v>
      </c>
      <c r="X39" s="2">
        <v>3024.5102099999999</v>
      </c>
      <c r="Y39" s="2">
        <v>3024.5102099999999</v>
      </c>
      <c r="Z39" s="2">
        <v>3024.5102099999999</v>
      </c>
      <c r="AA39" s="8">
        <v>3024.5102099999999</v>
      </c>
      <c r="AB39" s="2">
        <v>3024.5102099999999</v>
      </c>
      <c r="AC39" s="2">
        <v>3024.5102099999999</v>
      </c>
      <c r="AD39" s="2">
        <v>3024.5102099999999</v>
      </c>
      <c r="AE39" s="2">
        <v>3024.5102099999999</v>
      </c>
      <c r="AF39" s="2">
        <v>3024.5102099999999</v>
      </c>
      <c r="AG39" s="2">
        <v>3024.5102099999999</v>
      </c>
      <c r="AH39" s="2">
        <v>3024.5102099999999</v>
      </c>
      <c r="AI39" s="2">
        <v>3024.5102099999999</v>
      </c>
      <c r="AJ39" s="2">
        <v>3024.5102099999999</v>
      </c>
      <c r="AK39" s="2">
        <v>3024.5102099999999</v>
      </c>
      <c r="AL39" s="2">
        <v>3024.5102099999999</v>
      </c>
      <c r="AM39" s="2">
        <v>3024.5102099999999</v>
      </c>
      <c r="AN39" s="8">
        <v>3024.5102099999999</v>
      </c>
      <c r="AO39" s="2">
        <v>3024.5102099999999</v>
      </c>
      <c r="AP39" s="2">
        <v>3024.5102099999999</v>
      </c>
      <c r="AQ39" s="2">
        <v>3025.0375989999998</v>
      </c>
      <c r="AR39" s="2">
        <v>3027.3349499999999</v>
      </c>
      <c r="AS39" s="2">
        <v>3030.2206860000001</v>
      </c>
      <c r="AT39" s="2"/>
      <c r="AU39" s="2"/>
      <c r="AV39" s="2"/>
      <c r="AW39" s="2"/>
      <c r="AX39" s="2"/>
      <c r="AY39" s="2"/>
      <c r="AZ39" s="2"/>
    </row>
    <row r="40" spans="1:52" s="71" customFormat="1" ht="21" thickBot="1">
      <c r="A40" s="1" t="s">
        <v>63</v>
      </c>
      <c r="B40" s="11">
        <v>2820.4820020000002</v>
      </c>
      <c r="C40" s="11">
        <v>2820.4820020000002</v>
      </c>
      <c r="D40" s="2">
        <v>2820.4820020000002</v>
      </c>
      <c r="E40" s="2">
        <v>2820.4820020000002</v>
      </c>
      <c r="F40" s="2">
        <v>2820.4820020000002</v>
      </c>
      <c r="G40" s="2">
        <v>2820.4820020000002</v>
      </c>
      <c r="H40" s="2">
        <v>2820.4820020000002</v>
      </c>
      <c r="I40" s="2">
        <v>2820.4820020000002</v>
      </c>
      <c r="J40" s="2">
        <v>2820.4820020000002</v>
      </c>
      <c r="K40" s="2">
        <v>2820.4820020000002</v>
      </c>
      <c r="L40" s="2">
        <v>2820.4820020000002</v>
      </c>
      <c r="M40" s="2">
        <v>3024.5102099999999</v>
      </c>
      <c r="N40" s="8">
        <v>3024.5102099999999</v>
      </c>
      <c r="O40" s="5">
        <v>3024.5102099999999</v>
      </c>
      <c r="P40" s="5">
        <v>3024.5102099999999</v>
      </c>
      <c r="Q40" s="5">
        <v>3024.5102099999999</v>
      </c>
      <c r="R40" s="5">
        <v>3024.5102099999999</v>
      </c>
      <c r="S40" s="6">
        <v>3024.5102099999999</v>
      </c>
      <c r="T40" s="6">
        <v>3024.5102099999999</v>
      </c>
      <c r="U40" s="6">
        <v>3024.5102099999999</v>
      </c>
      <c r="V40" s="6">
        <v>3024.5102099999999</v>
      </c>
      <c r="W40" s="6">
        <v>3024.5102099999999</v>
      </c>
      <c r="X40" s="6">
        <v>3024.5102099999999</v>
      </c>
      <c r="Y40" s="6">
        <v>3024.5102099999999</v>
      </c>
      <c r="Z40" s="6">
        <v>3024.5102099999999</v>
      </c>
      <c r="AA40" s="8">
        <v>3024.5102099999999</v>
      </c>
      <c r="AB40" s="6">
        <v>3024.5102099999999</v>
      </c>
      <c r="AC40" s="5">
        <v>3024.5102099999999</v>
      </c>
      <c r="AD40" s="5">
        <v>3024.5102099999999</v>
      </c>
      <c r="AE40" s="5">
        <v>3024.5102099999999</v>
      </c>
      <c r="AF40" s="6">
        <v>3024.5102099999999</v>
      </c>
      <c r="AG40" s="6">
        <v>3024.5102099999999</v>
      </c>
      <c r="AH40" s="6">
        <v>3024.5102099999999</v>
      </c>
      <c r="AI40" s="6">
        <v>3024.5102099999999</v>
      </c>
      <c r="AJ40" s="6">
        <v>3024.5102099999999</v>
      </c>
      <c r="AK40" s="6">
        <v>3024.5102099999999</v>
      </c>
      <c r="AL40" s="6">
        <v>3024.5102099999999</v>
      </c>
      <c r="AM40" s="2">
        <v>3024.5102099999999</v>
      </c>
      <c r="AN40" s="8">
        <v>3024.5102099999999</v>
      </c>
      <c r="AO40" s="5">
        <v>3024.5102099999999</v>
      </c>
      <c r="AP40" s="6">
        <v>3024.5102099999999</v>
      </c>
      <c r="AQ40" s="6">
        <v>3030.66221</v>
      </c>
      <c r="AR40" s="6">
        <v>3037.4962099999998</v>
      </c>
      <c r="AS40" s="6">
        <v>3046.12221</v>
      </c>
      <c r="AT40" s="5"/>
      <c r="AU40" s="5"/>
      <c r="AV40" s="5"/>
      <c r="AW40" s="5"/>
      <c r="AX40" s="5"/>
      <c r="AY40" s="5"/>
      <c r="AZ40" s="5"/>
    </row>
    <row r="41" spans="1:52" s="71" customFormat="1" ht="21.6" thickTop="1">
      <c r="A41" s="72" t="s">
        <v>64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4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4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4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</row>
    <row r="42" spans="1:52" ht="20.399999999999999">
      <c r="A42" s="70" t="s">
        <v>65</v>
      </c>
      <c r="B42" s="3">
        <v>4.8267013380079327E-2</v>
      </c>
      <c r="C42" s="3">
        <v>0.11853124370223611</v>
      </c>
      <c r="D42" s="3">
        <v>8.1483168268202899E-2</v>
      </c>
      <c r="E42" s="3">
        <v>5.6666572169356E-2</v>
      </c>
      <c r="F42" s="3">
        <v>5.1305784508773655E-2</v>
      </c>
      <c r="G42" s="3">
        <v>5.17597022773022E-2</v>
      </c>
      <c r="H42" s="3">
        <v>7.0322087370715769E-2</v>
      </c>
      <c r="I42" s="3">
        <v>7.4935722096358501E-2</v>
      </c>
      <c r="J42" s="3">
        <v>5.6376400801633419E-2</v>
      </c>
      <c r="K42" s="3">
        <v>3.3054874287290037E-2</v>
      </c>
      <c r="L42" s="3">
        <v>5.0217894750196557E-2</v>
      </c>
      <c r="M42" s="3">
        <v>9.5298402840806817E-2</v>
      </c>
      <c r="N42" s="9">
        <v>6.4699870158463568E-2</v>
      </c>
      <c r="O42" s="3">
        <v>0.1446914028418369</v>
      </c>
      <c r="P42" s="3">
        <v>0.1101115256760028</v>
      </c>
      <c r="Q42" s="3">
        <v>0.11097628447027152</v>
      </c>
      <c r="R42" s="3">
        <v>9.9142884381493879E-2</v>
      </c>
      <c r="S42" s="3">
        <v>8.4937379960258852E-2</v>
      </c>
      <c r="T42" s="3">
        <v>0.10512167927836469</v>
      </c>
      <c r="U42" s="3">
        <v>8.3774951762434435E-2</v>
      </c>
      <c r="V42" s="3">
        <v>8.6259511942111455E-2</v>
      </c>
      <c r="W42" s="3">
        <v>0.10888145278900585</v>
      </c>
      <c r="X42" s="3">
        <v>7.507511751448992E-2</v>
      </c>
      <c r="Y42" s="3">
        <v>6.2886145370141699E-2</v>
      </c>
      <c r="Z42" s="3">
        <v>4.4285858519372834E-3</v>
      </c>
      <c r="AA42" s="9">
        <v>8.7408075991297851E-2</v>
      </c>
      <c r="AB42" s="3">
        <v>-2.9286845126178074E-2</v>
      </c>
      <c r="AC42" s="3">
        <v>1.8372649657821372E-2</v>
      </c>
      <c r="AD42" s="3">
        <v>6.6732584730713196E-3</v>
      </c>
      <c r="AE42" s="3">
        <v>2.3302065971124941E-2</v>
      </c>
      <c r="AF42" s="3">
        <v>-1.3031192681100645E-2</v>
      </c>
      <c r="AG42" s="3">
        <v>-2.4865874324106252E-2</v>
      </c>
      <c r="AH42" s="3">
        <v>-2.4428403812989052E-2</v>
      </c>
      <c r="AI42" s="3">
        <v>-2.2106236681223357E-2</v>
      </c>
      <c r="AJ42" s="3">
        <v>-8.4280095219139151E-3</v>
      </c>
      <c r="AK42" s="3">
        <v>-1.9146820547654486E-2</v>
      </c>
      <c r="AL42" s="3">
        <v>2.0277565493707073E-3</v>
      </c>
      <c r="AM42" s="3">
        <v>5.2037638613647408E-2</v>
      </c>
      <c r="AN42" s="9">
        <v>-3.0561781862418202E-3</v>
      </c>
      <c r="AO42" s="3">
        <v>4.1522636740741969E-2</v>
      </c>
      <c r="AP42" s="3">
        <v>-2.9032662153460898E-4</v>
      </c>
      <c r="AQ42" s="3">
        <v>5.7606123006867405E-2</v>
      </c>
      <c r="AR42" s="3">
        <v>1.7929756505785654E-2</v>
      </c>
      <c r="AS42" s="3">
        <v>3.9034939941733793E-2</v>
      </c>
      <c r="AT42" s="3"/>
      <c r="AU42" s="3"/>
      <c r="AV42" s="3"/>
      <c r="AW42" s="3"/>
      <c r="AX42" s="3"/>
      <c r="AY42" s="3"/>
      <c r="AZ42" s="3"/>
    </row>
    <row r="43" spans="1:52" ht="20.399999999999999">
      <c r="A43" s="70" t="s">
        <v>58</v>
      </c>
      <c r="B43" s="3">
        <v>8.2603710535900099E-4</v>
      </c>
      <c r="C43" s="3">
        <v>4.7023026938654677E-2</v>
      </c>
      <c r="D43" s="3">
        <v>3.407947717190174E-2</v>
      </c>
      <c r="E43" s="3">
        <v>1.016943682854432E-4</v>
      </c>
      <c r="F43" s="3">
        <v>-6.5644430534956832E-3</v>
      </c>
      <c r="G43" s="3">
        <v>4.7542517062084011E-2</v>
      </c>
      <c r="H43" s="3">
        <v>3.0180653160187587E-2</v>
      </c>
      <c r="I43" s="3">
        <v>3.0190503243766598E-2</v>
      </c>
      <c r="J43" s="3">
        <v>4.8823475546462269E-2</v>
      </c>
      <c r="K43" s="3">
        <v>4.2611615357161847E-2</v>
      </c>
      <c r="L43" s="3">
        <v>3.4960966226402768E-2</v>
      </c>
      <c r="M43" s="3">
        <v>0.17890434946890399</v>
      </c>
      <c r="N43" s="9">
        <v>4.096326585367227E-2</v>
      </c>
      <c r="O43" s="3">
        <v>0.27315287084355355</v>
      </c>
      <c r="P43" s="3">
        <v>0.17344679523144935</v>
      </c>
      <c r="Q43" s="3">
        <v>0.21109362411999588</v>
      </c>
      <c r="R43" s="3">
        <v>0.21964653165703507</v>
      </c>
      <c r="S43" s="3">
        <v>0.18136348665759261</v>
      </c>
      <c r="T43" s="3">
        <v>0.16683363473097423</v>
      </c>
      <c r="U43" s="3">
        <v>0.186200660495214</v>
      </c>
      <c r="V43" s="3">
        <v>0.20616725070419895</v>
      </c>
      <c r="W43" s="3">
        <v>0.21563766483735858</v>
      </c>
      <c r="X43" s="3">
        <v>0.22670055756748719</v>
      </c>
      <c r="Y43" s="3">
        <v>0.24388118188674901</v>
      </c>
      <c r="Z43" s="3">
        <v>-6.4641948117396542E-3</v>
      </c>
      <c r="AA43" s="9">
        <v>0.1880860427303328</v>
      </c>
      <c r="AB43" s="3">
        <v>-2.3015339198628082E-2</v>
      </c>
      <c r="AC43" s="3">
        <v>4.1392376399383535E-2</v>
      </c>
      <c r="AD43" s="3">
        <v>-2.4141848052054882E-2</v>
      </c>
      <c r="AE43" s="3">
        <v>-1.3235124632838713E-2</v>
      </c>
      <c r="AF43" s="3">
        <v>1.6429749515771697E-3</v>
      </c>
      <c r="AG43" s="3">
        <v>1.1874145329398011E-2</v>
      </c>
      <c r="AH43" s="3">
        <v>1.7916581839108936E-2</v>
      </c>
      <c r="AI43" s="3">
        <v>-3.4022020367041605E-4</v>
      </c>
      <c r="AJ43" s="3">
        <v>1.3533889758078121E-2</v>
      </c>
      <c r="AK43" s="3">
        <v>-1.8648837443221322E-2</v>
      </c>
      <c r="AL43" s="3">
        <v>4.5235279357586089E-2</v>
      </c>
      <c r="AM43" s="3">
        <v>0.13247341511341637</v>
      </c>
      <c r="AN43" s="9">
        <v>1.5301268028880655E-2</v>
      </c>
      <c r="AO43" s="3">
        <v>7.8323084445389934E-2</v>
      </c>
      <c r="AP43" s="3">
        <v>3.3174643973825413E-2</v>
      </c>
      <c r="AQ43" s="3">
        <v>0.11539399476063306</v>
      </c>
      <c r="AR43" s="3">
        <v>0.1016992387972655</v>
      </c>
      <c r="AS43" s="3">
        <v>9.6653262163504117E-2</v>
      </c>
      <c r="AT43" s="3"/>
      <c r="AU43" s="3"/>
      <c r="AV43" s="3"/>
      <c r="AW43" s="3"/>
      <c r="AX43" s="3"/>
      <c r="AY43" s="3"/>
      <c r="AZ43" s="3"/>
    </row>
    <row r="44" spans="1:52" ht="20.399999999999999">
      <c r="A44" s="70" t="s">
        <v>66</v>
      </c>
      <c r="B44" s="3">
        <v>-1.5578280809618983E-2</v>
      </c>
      <c r="C44" s="3">
        <v>9.5110857510083191E-2</v>
      </c>
      <c r="D44" s="3">
        <v>6.4850228992838099E-2</v>
      </c>
      <c r="E44" s="3">
        <v>1.998759353954993E-3</v>
      </c>
      <c r="F44" s="3">
        <v>-2.1568781560912131E-2</v>
      </c>
      <c r="G44" s="3">
        <v>7.9550138288707384E-2</v>
      </c>
      <c r="H44" s="3">
        <v>4.0671306553231146E-2</v>
      </c>
      <c r="I44" s="3">
        <v>3.9671998055573088E-2</v>
      </c>
      <c r="J44" s="3">
        <v>8.5638508526081569E-2</v>
      </c>
      <c r="K44" s="3">
        <v>7.1313964463888491E-2</v>
      </c>
      <c r="L44" s="3">
        <v>4.6827988784791774E-2</v>
      </c>
      <c r="M44" s="3">
        <v>-4.2421490184831878E-3</v>
      </c>
      <c r="N44" s="9">
        <v>3.8594377864531682E-2</v>
      </c>
      <c r="O44" s="3">
        <v>0.16645409549794232</v>
      </c>
      <c r="P44" s="3">
        <v>-1.3884477180858612E-2</v>
      </c>
      <c r="Q44" s="3">
        <v>9.9323504119699813E-2</v>
      </c>
      <c r="R44" s="3">
        <v>0.14740560803723723</v>
      </c>
      <c r="S44" s="3">
        <v>8.2008597867911481E-2</v>
      </c>
      <c r="T44" s="3">
        <v>8.9891504621835594E-2</v>
      </c>
      <c r="U44" s="3">
        <v>0.14435953384213396</v>
      </c>
      <c r="V44" s="3">
        <v>0.22329150436013245</v>
      </c>
      <c r="W44" s="3">
        <v>0.24940285134159779</v>
      </c>
      <c r="X44" s="3">
        <v>0.26711943927809734</v>
      </c>
      <c r="Y44" s="3">
        <v>0.27112409971518847</v>
      </c>
      <c r="Z44" s="3">
        <v>0.12936709316414552</v>
      </c>
      <c r="AA44" s="9">
        <v>0.1542215915566254</v>
      </c>
      <c r="AB44" s="3">
        <v>7.4300110755076032E-2</v>
      </c>
      <c r="AC44" s="3">
        <v>0.22988281479199735</v>
      </c>
      <c r="AD44" s="3">
        <v>3.6043151952347641E-2</v>
      </c>
      <c r="AE44" s="3">
        <v>2.6741890134220014E-2</v>
      </c>
      <c r="AF44" s="3">
        <v>5.634526236951265E-2</v>
      </c>
      <c r="AG44" s="3">
        <v>4.8147632634453874E-2</v>
      </c>
      <c r="AH44" s="3">
        <v>2.4998851153113399E-2</v>
      </c>
      <c r="AI44" s="3">
        <v>-4.0530026136463948E-2</v>
      </c>
      <c r="AJ44" s="3">
        <v>-1.2623119165865004E-2</v>
      </c>
      <c r="AK44" s="3">
        <v>-5.7083661235455163E-2</v>
      </c>
      <c r="AL44" s="3">
        <v>9.8102825264175131E-2</v>
      </c>
      <c r="AM44" s="3">
        <v>0.25280531442471066</v>
      </c>
      <c r="AN44" s="9">
        <v>5.9238503215077731E-2</v>
      </c>
      <c r="AO44" s="3">
        <v>0.1575266285678032</v>
      </c>
      <c r="AP44" s="3">
        <v>6.4382452412633517E-2</v>
      </c>
      <c r="AQ44" s="3">
        <v>0.23252428576448314</v>
      </c>
      <c r="AR44" s="3">
        <v>0.21997476857176523</v>
      </c>
      <c r="AS44" s="3">
        <v>0.20800562761802111</v>
      </c>
      <c r="AT44" s="3"/>
      <c r="AU44" s="3"/>
      <c r="AV44" s="3"/>
      <c r="AW44" s="3"/>
      <c r="AX44" s="3"/>
      <c r="AY44" s="3"/>
      <c r="AZ44" s="3"/>
    </row>
    <row r="45" spans="1:52" ht="20.399999999999999">
      <c r="A45" s="1" t="s">
        <v>60</v>
      </c>
      <c r="B45" s="75">
        <v>-6.6971652345633625E-2</v>
      </c>
      <c r="C45" s="75">
        <v>0.10301222763179552</v>
      </c>
      <c r="D45" s="75">
        <v>3.3708746019818214E-2</v>
      </c>
      <c r="E45" s="75">
        <v>-1.2504669348873954E-2</v>
      </c>
      <c r="F45" s="75">
        <v>-1.1148821031976563E-2</v>
      </c>
      <c r="G45" s="75">
        <v>7.1441530535922615E-2</v>
      </c>
      <c r="H45" s="75">
        <v>1.5466209582437385E-2</v>
      </c>
      <c r="I45" s="75">
        <v>1.5950401727430785E-2</v>
      </c>
      <c r="J45" s="75">
        <v>3.3245365265079929E-3</v>
      </c>
      <c r="K45" s="75">
        <v>5.6753172062709023E-2</v>
      </c>
      <c r="L45" s="75">
        <v>7.4635336590214374E-2</v>
      </c>
      <c r="M45" s="75">
        <v>0.71525125877600781</v>
      </c>
      <c r="N45" s="9">
        <v>7.9062630309779669E-2</v>
      </c>
      <c r="O45" s="75">
        <v>0.20492664920949788</v>
      </c>
      <c r="P45" s="75">
        <v>-5.9714184898797318E-2</v>
      </c>
      <c r="Q45" s="75">
        <v>5.2566143707753366E-2</v>
      </c>
      <c r="R45" s="75">
        <v>0.11195453239733477</v>
      </c>
      <c r="S45" s="75">
        <v>3.5891014776011643E-2</v>
      </c>
      <c r="T45" s="75">
        <v>8.6250653904766938E-3</v>
      </c>
      <c r="U45" s="75">
        <v>0.71921052013296216</v>
      </c>
      <c r="V45" s="75">
        <v>0.13557797403699934</v>
      </c>
      <c r="W45" s="75">
        <v>0.24995345582369333</v>
      </c>
      <c r="X45" s="75">
        <v>0.29729284392070388</v>
      </c>
      <c r="Y45" s="75">
        <v>0.32900431208149383</v>
      </c>
      <c r="Z45" s="75">
        <v>-0.38028415140469396</v>
      </c>
      <c r="AA45" s="9">
        <v>0.11794589923237875</v>
      </c>
      <c r="AB45" s="75">
        <v>4.741322174430751E-2</v>
      </c>
      <c r="AC45" s="75">
        <v>0.23900571971450657</v>
      </c>
      <c r="AD45" s="75">
        <v>0.14286150115172758</v>
      </c>
      <c r="AE45" s="75">
        <v>-2.9766244646571405E-2</v>
      </c>
      <c r="AF45" s="75">
        <v>-2.494728819437364E-2</v>
      </c>
      <c r="AG45" s="75">
        <v>4.6598448217272548E-2</v>
      </c>
      <c r="AH45" s="75">
        <v>-0.33528447336456135</v>
      </c>
      <c r="AI45" s="75">
        <v>5.6116105468045907E-2</v>
      </c>
      <c r="AJ45" s="75">
        <v>-2.9697905540951419E-2</v>
      </c>
      <c r="AK45" s="75">
        <v>-6.8685554864036047E-2</v>
      </c>
      <c r="AL45" s="75">
        <v>6.5556354036761855E-2</v>
      </c>
      <c r="AM45" s="75">
        <v>0.44186483535479937</v>
      </c>
      <c r="AN45" s="9">
        <v>2.103272328656125E-2</v>
      </c>
      <c r="AO45" s="75">
        <v>0.197737290586943</v>
      </c>
      <c r="AP45" s="75">
        <v>6.6379118139640259E-2</v>
      </c>
      <c r="AQ45" s="75">
        <v>0.19307394616831619</v>
      </c>
      <c r="AR45" s="75">
        <v>0.32623779095165495</v>
      </c>
      <c r="AS45" s="75">
        <v>0.39320422093080465</v>
      </c>
      <c r="AT45" s="75"/>
      <c r="AU45" s="75"/>
      <c r="AV45" s="75"/>
      <c r="AW45" s="75"/>
      <c r="AX45" s="75"/>
      <c r="AY45" s="75"/>
      <c r="AZ45" s="75"/>
    </row>
    <row r="46" spans="1:52" ht="19.5" customHeight="1">
      <c r="A46" s="1" t="s">
        <v>7</v>
      </c>
      <c r="B46" s="75">
        <v>-9.687264551939434E-2</v>
      </c>
      <c r="C46" s="75">
        <v>0.11882594127480495</v>
      </c>
      <c r="D46" s="75">
        <v>-1.6879690636545153E-2</v>
      </c>
      <c r="E46" s="75">
        <v>-1.2744194118688212E-2</v>
      </c>
      <c r="F46" s="75">
        <v>1.9807537291172128E-2</v>
      </c>
      <c r="G46" s="75">
        <v>3.2649081673884472E-2</v>
      </c>
      <c r="H46" s="75">
        <v>3.2184517802368307E-2</v>
      </c>
      <c r="I46" s="75">
        <v>0.10028726716490155</v>
      </c>
      <c r="J46" s="75">
        <v>-3.0862149891162649E-2</v>
      </c>
      <c r="K46" s="75">
        <v>5.2920605610699667E-2</v>
      </c>
      <c r="L46" s="75">
        <v>6.7193635345467406E-2</v>
      </c>
      <c r="M46" s="75">
        <v>1.3372220474487695</v>
      </c>
      <c r="N46" s="9">
        <v>0.11324226871829079</v>
      </c>
      <c r="O46" s="75">
        <v>0.24901143983159169</v>
      </c>
      <c r="P46" s="75">
        <v>-4.6623214066531027E-2</v>
      </c>
      <c r="Q46" s="75">
        <v>9.1031384353479794E-2</v>
      </c>
      <c r="R46" s="75">
        <v>0.11730777768971157</v>
      </c>
      <c r="S46" s="75">
        <v>6.1289148445332842E-2</v>
      </c>
      <c r="T46" s="75">
        <v>2.3222861004218442E-2</v>
      </c>
      <c r="U46" s="75">
        <v>0.81768605148480966</v>
      </c>
      <c r="V46" s="75">
        <v>9.8663660424738842E-2</v>
      </c>
      <c r="W46" s="75">
        <v>0.33754909653905107</v>
      </c>
      <c r="X46" s="75">
        <v>0.35920653701891281</v>
      </c>
      <c r="Y46" s="75">
        <v>0.39604385236683215</v>
      </c>
      <c r="Z46" s="75">
        <v>-0.46384178689671529</v>
      </c>
      <c r="AA46" s="9">
        <v>0.12567976816665061</v>
      </c>
      <c r="AB46" s="75">
        <v>0.10125893593367108</v>
      </c>
      <c r="AC46" s="75">
        <v>0.42207143405170955</v>
      </c>
      <c r="AD46" s="75">
        <v>0.20188830549404146</v>
      </c>
      <c r="AE46" s="75">
        <v>-2.203796407379055E-2</v>
      </c>
      <c r="AF46" s="75">
        <v>-2.5668310160939511E-2</v>
      </c>
      <c r="AG46" s="75">
        <v>9.3950803394574622E-2</v>
      </c>
      <c r="AH46" s="75">
        <v>-0.34492965284949539</v>
      </c>
      <c r="AI46" s="75">
        <v>9.5060066688846812E-2</v>
      </c>
      <c r="AJ46" s="75">
        <v>-2.5365595854264567E-2</v>
      </c>
      <c r="AK46" s="75">
        <v>-3.3477697933545825E-2</v>
      </c>
      <c r="AL46" s="75">
        <v>7.3154502659958265E-2</v>
      </c>
      <c r="AM46" s="75">
        <v>0.39287319959858324</v>
      </c>
      <c r="AN46" s="9">
        <v>4.4922240674119207E-2</v>
      </c>
      <c r="AO46" s="75">
        <v>0.20990592156598886</v>
      </c>
      <c r="AP46" s="75">
        <v>-1.1160756645574144E-2</v>
      </c>
      <c r="AQ46" s="75">
        <v>0.2109422115721904</v>
      </c>
      <c r="AR46" s="75">
        <v>0.36640672463154034</v>
      </c>
      <c r="AS46" s="75">
        <v>0.50903000832317624</v>
      </c>
      <c r="AT46" s="75"/>
      <c r="AU46" s="75"/>
      <c r="AV46" s="75"/>
      <c r="AW46" s="75"/>
      <c r="AX46" s="75"/>
      <c r="AY46" s="75"/>
      <c r="AZ46" s="75"/>
    </row>
    <row r="47" spans="1:52" ht="19.5" customHeight="1" thickBot="1">
      <c r="A47" s="76" t="s">
        <v>67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7">
        <v>0.10741687979539649</v>
      </c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7">
        <v>5.5427251732101723E-2</v>
      </c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7">
        <v>4.3763676148796282E-2</v>
      </c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</row>
    <row r="48" spans="1:52" ht="16.5" customHeight="1" thickBot="1">
      <c r="A48" s="77" t="s">
        <v>68</v>
      </c>
      <c r="B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D48" s="66"/>
    </row>
    <row r="49" spans="1:168">
      <c r="A49" s="77" t="s">
        <v>69</v>
      </c>
    </row>
    <row r="50" spans="1:168">
      <c r="A50" s="77" t="s">
        <v>70</v>
      </c>
    </row>
    <row r="51" spans="1:168" ht="15.6">
      <c r="A51" s="77" t="s">
        <v>71</v>
      </c>
      <c r="B51" s="79"/>
      <c r="C51" s="71"/>
      <c r="D51" s="71"/>
      <c r="E51" s="71"/>
      <c r="F51" s="71"/>
      <c r="G51" s="71"/>
      <c r="H51" s="71"/>
      <c r="I51" s="71"/>
      <c r="J51" s="71"/>
      <c r="K51" s="71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168" ht="15" customHeight="1">
      <c r="A52" s="77" t="s">
        <v>72</v>
      </c>
      <c r="B52" s="79"/>
      <c r="C52" s="38"/>
      <c r="D52" s="38"/>
      <c r="E52" s="38"/>
      <c r="F52" s="80"/>
      <c r="G52" s="38"/>
      <c r="H52" s="38"/>
      <c r="I52" s="80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168" ht="15" customHeight="1">
      <c r="A53" s="77" t="s">
        <v>73</v>
      </c>
      <c r="B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168" ht="15" customHeight="1">
      <c r="A54" s="77" t="s">
        <v>74</v>
      </c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168" ht="15" customHeight="1">
      <c r="A55" s="77" t="s">
        <v>75</v>
      </c>
      <c r="E55" s="79"/>
      <c r="F55" s="79"/>
      <c r="G55" s="79"/>
      <c r="H55" s="79"/>
      <c r="I55" s="79"/>
      <c r="J55" s="79"/>
      <c r="K55" s="79"/>
      <c r="L55" s="79"/>
      <c r="M55" s="79"/>
      <c r="N55" s="79"/>
      <c r="AA55" s="79"/>
      <c r="AB55" s="79"/>
      <c r="AC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79"/>
      <c r="CY55" s="79"/>
      <c r="CZ55" s="79"/>
      <c r="DA55" s="79"/>
      <c r="DB55" s="79"/>
      <c r="DC55" s="79"/>
      <c r="DD55" s="79"/>
      <c r="DE55" s="79"/>
      <c r="DF55" s="79"/>
      <c r="DG55" s="79"/>
      <c r="DH55" s="79"/>
      <c r="DI55" s="79"/>
      <c r="DJ55" s="79"/>
      <c r="DK55" s="79"/>
      <c r="DL55" s="79"/>
      <c r="DM55" s="79"/>
      <c r="DN55" s="79"/>
      <c r="DO55" s="79"/>
      <c r="DP55" s="79"/>
      <c r="DQ55" s="79"/>
      <c r="DR55" s="79"/>
      <c r="DS55" s="79"/>
      <c r="DT55" s="79"/>
      <c r="DU55" s="79"/>
      <c r="DV55" s="79"/>
      <c r="DW55" s="79"/>
      <c r="DX55" s="79"/>
      <c r="DY55" s="79"/>
      <c r="DZ55" s="79"/>
      <c r="EA55" s="79"/>
      <c r="EB55" s="79"/>
      <c r="EC55" s="79"/>
      <c r="ED55" s="79"/>
      <c r="EE55" s="79"/>
      <c r="EF55" s="79"/>
      <c r="EG55" s="79"/>
      <c r="EH55" s="79"/>
      <c r="EI55" s="79"/>
      <c r="EJ55" s="79"/>
      <c r="EK55" s="79"/>
      <c r="EL55" s="79"/>
      <c r="EM55" s="79"/>
      <c r="EN55" s="79"/>
      <c r="EO55" s="79"/>
      <c r="EP55" s="79"/>
      <c r="EQ55" s="79"/>
      <c r="ER55" s="79"/>
      <c r="ES55" s="79"/>
      <c r="ET55" s="79"/>
      <c r="EU55" s="79"/>
      <c r="EV55" s="79"/>
      <c r="EW55" s="79"/>
      <c r="EX55" s="79"/>
      <c r="EY55" s="79"/>
      <c r="EZ55" s="79"/>
      <c r="FA55" s="79"/>
      <c r="FB55" s="79"/>
      <c r="FC55" s="79"/>
      <c r="FD55" s="79"/>
      <c r="FE55" s="79"/>
      <c r="FF55" s="79"/>
      <c r="FG55" s="79"/>
      <c r="FH55" s="79"/>
      <c r="FI55" s="79"/>
      <c r="FJ55" s="79"/>
      <c r="FK55" s="79"/>
      <c r="FL55" s="79"/>
    </row>
    <row r="56" spans="1:168"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9"/>
      <c r="CZ56" s="79"/>
      <c r="DA56" s="79"/>
      <c r="DB56" s="79"/>
      <c r="DC56" s="79"/>
      <c r="DD56" s="79"/>
      <c r="DE56" s="79"/>
      <c r="DF56" s="79"/>
      <c r="DG56" s="79"/>
      <c r="DH56" s="79"/>
      <c r="DI56" s="79"/>
      <c r="DJ56" s="79"/>
      <c r="DK56" s="79"/>
      <c r="DL56" s="79"/>
      <c r="DM56" s="79"/>
      <c r="DN56" s="79"/>
      <c r="DO56" s="79"/>
      <c r="DP56" s="79"/>
      <c r="DQ56" s="79"/>
      <c r="DR56" s="79"/>
      <c r="DS56" s="79"/>
      <c r="DT56" s="79"/>
      <c r="DU56" s="79"/>
      <c r="DV56" s="79"/>
      <c r="DW56" s="79"/>
      <c r="DX56" s="79"/>
      <c r="DY56" s="79"/>
      <c r="DZ56" s="79"/>
      <c r="EA56" s="79"/>
      <c r="EB56" s="79"/>
      <c r="EC56" s="79"/>
      <c r="ED56" s="79"/>
      <c r="EE56" s="79"/>
      <c r="EF56" s="79"/>
      <c r="EG56" s="79"/>
      <c r="EH56" s="79"/>
      <c r="EI56" s="79"/>
      <c r="EJ56" s="79"/>
      <c r="EK56" s="79"/>
      <c r="EL56" s="79"/>
      <c r="EM56" s="79"/>
      <c r="EN56" s="79"/>
      <c r="EO56" s="79"/>
      <c r="EP56" s="79"/>
      <c r="EQ56" s="79"/>
      <c r="ER56" s="79"/>
      <c r="ES56" s="79"/>
      <c r="ET56" s="79"/>
      <c r="EU56" s="79"/>
      <c r="EV56" s="79"/>
      <c r="EW56" s="79"/>
      <c r="EX56" s="79"/>
      <c r="EY56" s="79"/>
      <c r="EZ56" s="79"/>
      <c r="FA56" s="79"/>
      <c r="FB56" s="79"/>
      <c r="FC56" s="79"/>
      <c r="FD56" s="79"/>
      <c r="FE56" s="79"/>
      <c r="FF56" s="79"/>
      <c r="FG56" s="79"/>
      <c r="FH56" s="79"/>
      <c r="FI56" s="79"/>
      <c r="FJ56" s="79"/>
      <c r="FK56" s="79"/>
      <c r="FL56" s="79"/>
    </row>
    <row r="57" spans="1:168">
      <c r="N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9"/>
      <c r="CZ57" s="79"/>
      <c r="DA57" s="79"/>
      <c r="DB57" s="79"/>
      <c r="DC57" s="79"/>
      <c r="DD57" s="79"/>
      <c r="DE57" s="79"/>
      <c r="DF57" s="79"/>
      <c r="DG57" s="79"/>
      <c r="DH57" s="79"/>
      <c r="DI57" s="79"/>
      <c r="DJ57" s="79"/>
      <c r="DK57" s="79"/>
      <c r="DL57" s="79"/>
      <c r="DM57" s="79"/>
      <c r="DN57" s="79"/>
      <c r="DO57" s="79"/>
      <c r="DP57" s="79"/>
      <c r="DQ57" s="79"/>
      <c r="DR57" s="79"/>
      <c r="DS57" s="79"/>
      <c r="DT57" s="79"/>
      <c r="DU57" s="79"/>
      <c r="DV57" s="79"/>
      <c r="DW57" s="79"/>
      <c r="DX57" s="79"/>
      <c r="DY57" s="79"/>
      <c r="DZ57" s="79"/>
      <c r="EA57" s="79"/>
      <c r="EB57" s="79"/>
      <c r="EC57" s="79"/>
      <c r="ED57" s="79"/>
      <c r="EE57" s="79"/>
      <c r="EF57" s="79"/>
      <c r="EG57" s="79"/>
      <c r="EH57" s="79"/>
      <c r="EI57" s="79"/>
      <c r="EJ57" s="79"/>
      <c r="EK57" s="79"/>
      <c r="EL57" s="79"/>
      <c r="EM57" s="79"/>
      <c r="EN57" s="79"/>
      <c r="EO57" s="79"/>
      <c r="EP57" s="79"/>
      <c r="EQ57" s="79"/>
      <c r="ER57" s="79"/>
      <c r="ES57" s="79"/>
      <c r="ET57" s="79"/>
      <c r="EU57" s="79"/>
      <c r="EV57" s="79"/>
      <c r="EW57" s="79"/>
      <c r="EX57" s="79"/>
      <c r="EY57" s="79"/>
      <c r="EZ57" s="79"/>
      <c r="FA57" s="79"/>
      <c r="FB57" s="79"/>
      <c r="FC57" s="79"/>
      <c r="FD57" s="79"/>
      <c r="FE57" s="79"/>
      <c r="FF57" s="79"/>
      <c r="FG57" s="79"/>
      <c r="FH57" s="79"/>
      <c r="FI57" s="79"/>
      <c r="FJ57" s="79"/>
      <c r="FK57" s="79"/>
      <c r="FL57" s="79"/>
    </row>
    <row r="58" spans="1:168">
      <c r="L58" s="79"/>
      <c r="M58" s="79"/>
      <c r="AD58" s="79"/>
    </row>
    <row r="59" spans="1:168" ht="15.75" customHeight="1">
      <c r="B59"/>
      <c r="O59"/>
      <c r="P59"/>
      <c r="Q59"/>
      <c r="R59"/>
      <c r="S59"/>
      <c r="T59"/>
      <c r="U59"/>
      <c r="V59"/>
      <c r="W59"/>
      <c r="X59"/>
      <c r="Y59"/>
      <c r="Z59"/>
    </row>
    <row r="60" spans="1:168">
      <c r="A60" s="77"/>
      <c r="C60" s="79"/>
      <c r="D60" s="79"/>
    </row>
    <row r="61" spans="1:168" ht="15.75" customHeight="1">
      <c r="A61" s="77"/>
      <c r="B61" s="79"/>
    </row>
    <row r="62" spans="1:168" customFormat="1" ht="30">
      <c r="A62" s="81"/>
      <c r="B62" s="36"/>
      <c r="C62" s="82"/>
      <c r="D62" s="82"/>
      <c r="E62" s="82"/>
      <c r="F62" s="82"/>
      <c r="G62" s="82"/>
      <c r="H62" s="82"/>
      <c r="I62" s="82"/>
      <c r="J62" s="82"/>
      <c r="K62" s="82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D62" s="36"/>
    </row>
    <row r="63" spans="1:168" ht="16.2">
      <c r="A63" s="77"/>
      <c r="AD63"/>
    </row>
    <row r="64" spans="1:168">
      <c r="A64" s="83"/>
    </row>
    <row r="65" spans="1:30" ht="20.25" customHeight="1">
      <c r="A65" s="77"/>
    </row>
    <row r="66" spans="1:30" ht="24" customHeight="1">
      <c r="A66" s="84"/>
    </row>
    <row r="67" spans="1:30" ht="28.95" customHeight="1"/>
    <row r="68" spans="1:30" ht="16.2">
      <c r="B68"/>
      <c r="O68"/>
      <c r="P68"/>
      <c r="Q68"/>
      <c r="R68"/>
      <c r="S68"/>
      <c r="T68"/>
      <c r="U68"/>
      <c r="V68"/>
      <c r="W68"/>
      <c r="X68"/>
      <c r="Y68"/>
      <c r="Z68"/>
    </row>
    <row r="71" spans="1:30" customFormat="1" ht="16.2">
      <c r="A71" s="36"/>
      <c r="B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D71" s="36"/>
    </row>
    <row r="72" spans="1:30" ht="16.2">
      <c r="AD72"/>
    </row>
    <row r="73" spans="1:30">
      <c r="A73" s="85"/>
    </row>
    <row r="74" spans="1:30">
      <c r="A74" s="85"/>
    </row>
    <row r="75" spans="1:30">
      <c r="B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30">
      <c r="B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8" spans="1:30" s="85" customFormat="1">
      <c r="A78" s="36"/>
      <c r="B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D78" s="36"/>
    </row>
    <row r="79" spans="1:30" s="85" customFormat="1">
      <c r="A79" s="36"/>
      <c r="B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30">
      <c r="AD80" s="8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7471-333E-42E7-BF45-ABF1202B4E4C}">
  <dimension ref="B2:M31"/>
  <sheetViews>
    <sheetView topLeftCell="A14" workbookViewId="0">
      <selection activeCell="L9" sqref="L9"/>
    </sheetView>
  </sheetViews>
  <sheetFormatPr defaultRowHeight="16.2"/>
  <cols>
    <col min="2" max="2" width="20.33203125" customWidth="1"/>
    <col min="3" max="10" width="18.5546875" customWidth="1"/>
    <col min="11" max="11" width="16.6640625" customWidth="1"/>
    <col min="12" max="13" width="15.77734375" customWidth="1"/>
  </cols>
  <sheetData>
    <row r="2" spans="2:13" ht="19.8">
      <c r="B2" s="222" t="s">
        <v>316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</row>
    <row r="3" spans="2:13">
      <c r="B3" s="223" t="s">
        <v>317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</row>
    <row r="5" spans="2:13" ht="40.049999999999997" customHeight="1">
      <c r="B5" s="175" t="s">
        <v>293</v>
      </c>
      <c r="C5" s="175" t="s">
        <v>318</v>
      </c>
      <c r="D5" s="175" t="s">
        <v>319</v>
      </c>
      <c r="E5" s="175" t="s">
        <v>320</v>
      </c>
      <c r="F5" s="175" t="s">
        <v>321</v>
      </c>
      <c r="G5" s="175" t="s">
        <v>322</v>
      </c>
      <c r="H5" s="175" t="s">
        <v>323</v>
      </c>
      <c r="I5" s="175" t="s">
        <v>324</v>
      </c>
      <c r="J5" s="175" t="s">
        <v>325</v>
      </c>
      <c r="K5" s="189" t="s">
        <v>352</v>
      </c>
      <c r="L5" s="175" t="s">
        <v>326</v>
      </c>
      <c r="M5" s="175" t="s">
        <v>327</v>
      </c>
    </row>
    <row r="6" spans="2:13">
      <c r="B6" s="176" t="s">
        <v>328</v>
      </c>
      <c r="C6" s="176" t="s">
        <v>329</v>
      </c>
      <c r="D6" s="176" t="s">
        <v>330</v>
      </c>
      <c r="E6" s="176" t="s">
        <v>331</v>
      </c>
      <c r="F6" s="176" t="s">
        <v>332</v>
      </c>
      <c r="G6" s="176" t="s">
        <v>333</v>
      </c>
      <c r="H6" s="176" t="s">
        <v>334</v>
      </c>
      <c r="I6" s="176" t="s">
        <v>335</v>
      </c>
      <c r="J6" s="176" t="s">
        <v>336</v>
      </c>
      <c r="K6" s="190" t="s">
        <v>337</v>
      </c>
      <c r="L6" s="176" t="s">
        <v>337</v>
      </c>
      <c r="M6" s="176" t="s">
        <v>338</v>
      </c>
    </row>
    <row r="7" spans="2:13">
      <c r="B7" s="177" t="s">
        <v>296</v>
      </c>
      <c r="C7" s="181">
        <v>118700</v>
      </c>
      <c r="D7" s="181">
        <v>124400</v>
      </c>
      <c r="E7" s="181">
        <v>132900</v>
      </c>
      <c r="F7" s="181">
        <v>156100</v>
      </c>
      <c r="G7" s="181">
        <v>172200</v>
      </c>
      <c r="H7" s="181">
        <v>183300</v>
      </c>
      <c r="I7" s="181">
        <v>199400</v>
      </c>
      <c r="J7" s="181">
        <f>SUM(純數字!AE4:AM4)+SUM(純數字!AO4:AQ4)</f>
        <v>200375.53276247889</v>
      </c>
      <c r="K7" s="182">
        <f t="shared" ref="K7:K13" si="0">(J7-D7)/D7</f>
        <v>0.61073579391060207</v>
      </c>
      <c r="L7" s="182">
        <f t="shared" ref="L7:L13" si="1">(J7-C7)/C7</f>
        <v>0.6880836795491061</v>
      </c>
      <c r="M7" s="182">
        <f t="shared" ref="M7:M13" si="2">POWER(J7/C7,1/7)-1</f>
        <v>7.76676669898686E-2</v>
      </c>
    </row>
    <row r="8" spans="2:13">
      <c r="B8" s="167" t="s">
        <v>3</v>
      </c>
      <c r="C8" s="183">
        <v>31700</v>
      </c>
      <c r="D8" s="183">
        <v>33400</v>
      </c>
      <c r="E8" s="183">
        <v>31300</v>
      </c>
      <c r="F8" s="183">
        <v>33100</v>
      </c>
      <c r="G8" s="183">
        <v>34400</v>
      </c>
      <c r="H8" s="183">
        <v>35800</v>
      </c>
      <c r="I8" s="183">
        <v>42500</v>
      </c>
      <c r="J8" s="183">
        <f>SUM(純數字!AE5:AM5)+SUM(純數字!AO5:AQ5)</f>
        <v>43970.235157184565</v>
      </c>
      <c r="K8" s="184">
        <f t="shared" si="0"/>
        <v>0.31647410650253188</v>
      </c>
      <c r="L8" s="184">
        <f t="shared" si="1"/>
        <v>0.3870736642644973</v>
      </c>
      <c r="M8" s="184">
        <f t="shared" si="2"/>
        <v>4.7851965354751558E-2</v>
      </c>
    </row>
    <row r="9" spans="2:13">
      <c r="B9" s="177" t="s">
        <v>297</v>
      </c>
      <c r="C9" s="181">
        <v>18200</v>
      </c>
      <c r="D9" s="181">
        <v>17200</v>
      </c>
      <c r="E9" s="181">
        <v>16100</v>
      </c>
      <c r="F9" s="181">
        <v>16100</v>
      </c>
      <c r="G9" s="181">
        <v>16900</v>
      </c>
      <c r="H9" s="181">
        <v>17500</v>
      </c>
      <c r="I9" s="181">
        <v>20300</v>
      </c>
      <c r="J9" s="181">
        <f>SUM(純數字!AE6:AM6)+SUM(純數字!AO6:AQ6)</f>
        <v>22233.272232264058</v>
      </c>
      <c r="K9" s="182">
        <f t="shared" si="0"/>
        <v>0.29263210652698013</v>
      </c>
      <c r="L9" s="182">
        <f t="shared" si="1"/>
        <v>0.22160836441011311</v>
      </c>
      <c r="M9" s="182">
        <f t="shared" si="2"/>
        <v>2.9008250265414093E-2</v>
      </c>
    </row>
    <row r="10" spans="2:13">
      <c r="B10" s="167" t="s">
        <v>298</v>
      </c>
      <c r="C10" s="183">
        <v>13600</v>
      </c>
      <c r="D10" s="183">
        <v>12500</v>
      </c>
      <c r="E10" s="183">
        <v>11300</v>
      </c>
      <c r="F10" s="183">
        <v>11000</v>
      </c>
      <c r="G10" s="183">
        <v>11000</v>
      </c>
      <c r="H10" s="183">
        <v>12300</v>
      </c>
      <c r="I10" s="183">
        <v>14400</v>
      </c>
      <c r="J10" s="183">
        <f>SUM(純數字!AE7:AM7)+SUM(純數字!AO7:AQ7)</f>
        <v>14928.515927001119</v>
      </c>
      <c r="K10" s="184">
        <f t="shared" si="0"/>
        <v>0.19428127416008953</v>
      </c>
      <c r="L10" s="184">
        <f t="shared" si="1"/>
        <v>9.7684994632435226E-2</v>
      </c>
      <c r="M10" s="184">
        <f t="shared" si="2"/>
        <v>1.3403809431961067E-2</v>
      </c>
    </row>
    <row r="11" spans="2:13">
      <c r="B11" s="177" t="s">
        <v>308</v>
      </c>
      <c r="C11" s="185">
        <v>5.01</v>
      </c>
      <c r="D11" s="185">
        <v>4.51</v>
      </c>
      <c r="E11" s="185">
        <v>4.01</v>
      </c>
      <c r="F11" s="185">
        <v>3.9</v>
      </c>
      <c r="G11" s="185">
        <v>3.91</v>
      </c>
      <c r="H11" s="185">
        <v>4.33</v>
      </c>
      <c r="I11" s="185">
        <v>4.57</v>
      </c>
      <c r="J11" s="185">
        <f>J10/3025</f>
        <v>4.9350465874383866</v>
      </c>
      <c r="K11" s="182">
        <f t="shared" si="0"/>
        <v>9.4245363068378468E-2</v>
      </c>
      <c r="L11" s="182">
        <f t="shared" si="1"/>
        <v>-1.4960760990341946E-2</v>
      </c>
      <c r="M11" s="182">
        <f t="shared" si="2"/>
        <v>-2.1510833891730252E-3</v>
      </c>
    </row>
    <row r="12" spans="2:13">
      <c r="B12" s="167" t="s">
        <v>309</v>
      </c>
      <c r="C12" s="186">
        <v>112</v>
      </c>
      <c r="D12" s="186">
        <v>95.5</v>
      </c>
      <c r="E12" s="186">
        <v>99.5</v>
      </c>
      <c r="F12" s="186">
        <v>99</v>
      </c>
      <c r="G12" s="186">
        <v>97</v>
      </c>
      <c r="H12" s="186">
        <v>97.8</v>
      </c>
      <c r="I12" s="186">
        <v>109</v>
      </c>
      <c r="J12" s="186">
        <v>109</v>
      </c>
      <c r="K12" s="184">
        <f t="shared" si="0"/>
        <v>0.14136125654450263</v>
      </c>
      <c r="L12" s="184">
        <f t="shared" si="1"/>
        <v>-2.6785714285714284E-2</v>
      </c>
      <c r="M12" s="184">
        <f t="shared" si="2"/>
        <v>-3.8712002335797857E-3</v>
      </c>
    </row>
    <row r="13" spans="2:13">
      <c r="B13" s="177" t="s">
        <v>339</v>
      </c>
      <c r="C13" s="181">
        <v>3830</v>
      </c>
      <c r="D13" s="181">
        <v>3265</v>
      </c>
      <c r="E13" s="181">
        <v>3401</v>
      </c>
      <c r="F13" s="181">
        <v>3519</v>
      </c>
      <c r="G13" s="181">
        <v>3414</v>
      </c>
      <c r="H13" s="181">
        <v>3638</v>
      </c>
      <c r="I13" s="181">
        <v>4055</v>
      </c>
      <c r="J13" s="181">
        <f>J12*37.23</f>
        <v>4058.0699999999997</v>
      </c>
      <c r="K13" s="182">
        <f t="shared" si="0"/>
        <v>0.24290045941807034</v>
      </c>
      <c r="L13" s="182">
        <f t="shared" si="1"/>
        <v>5.9548302872062586E-2</v>
      </c>
      <c r="M13" s="182">
        <f t="shared" si="2"/>
        <v>8.2974759430325395E-3</v>
      </c>
    </row>
    <row r="15" spans="2:13">
      <c r="B15" s="220" t="s">
        <v>340</v>
      </c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</row>
    <row r="16" spans="2:13">
      <c r="B16" s="179" t="s">
        <v>293</v>
      </c>
      <c r="C16" s="179"/>
      <c r="D16" s="179" t="s">
        <v>341</v>
      </c>
      <c r="E16" s="179" t="s">
        <v>310</v>
      </c>
      <c r="F16" s="179" t="s">
        <v>311</v>
      </c>
      <c r="G16" s="179" t="s">
        <v>312</v>
      </c>
      <c r="H16" s="179" t="s">
        <v>313</v>
      </c>
      <c r="I16" s="179" t="s">
        <v>314</v>
      </c>
      <c r="J16" s="179" t="s">
        <v>315</v>
      </c>
      <c r="K16" s="178"/>
    </row>
    <row r="17" spans="2:11">
      <c r="B17" s="177" t="s">
        <v>77</v>
      </c>
      <c r="C17" s="177"/>
      <c r="D17" s="182">
        <f t="shared" ref="D17:J23" si="3">(D7-C7)/C7</f>
        <v>4.8020219039595621E-2</v>
      </c>
      <c r="E17" s="182">
        <f t="shared" si="3"/>
        <v>6.8327974276527328E-2</v>
      </c>
      <c r="F17" s="182">
        <f t="shared" si="3"/>
        <v>0.17456734386756961</v>
      </c>
      <c r="G17" s="182">
        <f t="shared" si="3"/>
        <v>0.1031390134529148</v>
      </c>
      <c r="H17" s="182">
        <f t="shared" si="3"/>
        <v>6.4459930313588848E-2</v>
      </c>
      <c r="I17" s="182">
        <f t="shared" si="3"/>
        <v>8.7834151663938903E-2</v>
      </c>
      <c r="J17" s="182">
        <f t="shared" si="3"/>
        <v>4.8923408348991552E-3</v>
      </c>
      <c r="K17" s="187"/>
    </row>
    <row r="18" spans="2:11">
      <c r="B18" s="167" t="s">
        <v>348</v>
      </c>
      <c r="C18" s="167"/>
      <c r="D18" s="184">
        <f t="shared" si="3"/>
        <v>5.362776025236593E-2</v>
      </c>
      <c r="E18" s="184">
        <f t="shared" si="3"/>
        <v>-6.2874251497005984E-2</v>
      </c>
      <c r="F18" s="184">
        <f t="shared" si="3"/>
        <v>5.7507987220447282E-2</v>
      </c>
      <c r="G18" s="184">
        <f t="shared" si="3"/>
        <v>3.9274924471299093E-2</v>
      </c>
      <c r="H18" s="184">
        <f t="shared" si="3"/>
        <v>4.0697674418604654E-2</v>
      </c>
      <c r="I18" s="184">
        <f t="shared" si="3"/>
        <v>0.18715083798882681</v>
      </c>
      <c r="J18" s="184">
        <f t="shared" si="3"/>
        <v>3.4593768404342702E-2</v>
      </c>
      <c r="K18" s="188"/>
    </row>
    <row r="19" spans="2:11">
      <c r="B19" s="177" t="s">
        <v>177</v>
      </c>
      <c r="C19" s="177"/>
      <c r="D19" s="182">
        <f t="shared" si="3"/>
        <v>-5.4945054945054944E-2</v>
      </c>
      <c r="E19" s="182">
        <f t="shared" si="3"/>
        <v>-6.3953488372093026E-2</v>
      </c>
      <c r="F19" s="182">
        <f t="shared" si="3"/>
        <v>0</v>
      </c>
      <c r="G19" s="182">
        <f t="shared" si="3"/>
        <v>4.9689440993788817E-2</v>
      </c>
      <c r="H19" s="182">
        <f t="shared" si="3"/>
        <v>3.5502958579881658E-2</v>
      </c>
      <c r="I19" s="182">
        <f t="shared" si="3"/>
        <v>0.16</v>
      </c>
      <c r="J19" s="182">
        <f t="shared" si="3"/>
        <v>9.523508533320485E-2</v>
      </c>
      <c r="K19" s="187"/>
    </row>
    <row r="20" spans="2:11">
      <c r="B20" s="167" t="s">
        <v>88</v>
      </c>
      <c r="C20" s="167"/>
      <c r="D20" s="184">
        <f t="shared" si="3"/>
        <v>-8.0882352941176475E-2</v>
      </c>
      <c r="E20" s="184">
        <f t="shared" si="3"/>
        <v>-9.6000000000000002E-2</v>
      </c>
      <c r="F20" s="184">
        <f t="shared" si="3"/>
        <v>-2.6548672566371681E-2</v>
      </c>
      <c r="G20" s="184">
        <f t="shared" si="3"/>
        <v>0</v>
      </c>
      <c r="H20" s="184">
        <f t="shared" si="3"/>
        <v>0.11818181818181818</v>
      </c>
      <c r="I20" s="184">
        <f t="shared" si="3"/>
        <v>0.17073170731707318</v>
      </c>
      <c r="J20" s="184">
        <f t="shared" si="3"/>
        <v>3.6702494930633267E-2</v>
      </c>
      <c r="K20" s="188"/>
    </row>
    <row r="21" spans="2:11">
      <c r="B21" s="177" t="s">
        <v>122</v>
      </c>
      <c r="C21" s="177"/>
      <c r="D21" s="182">
        <f t="shared" si="3"/>
        <v>-9.9800399201596807E-2</v>
      </c>
      <c r="E21" s="182">
        <f t="shared" si="3"/>
        <v>-0.11086474501108648</v>
      </c>
      <c r="F21" s="182">
        <f t="shared" si="3"/>
        <v>-2.7431421446384011E-2</v>
      </c>
      <c r="G21" s="182">
        <f t="shared" si="3"/>
        <v>2.5641025641026235E-3</v>
      </c>
      <c r="H21" s="182">
        <f t="shared" si="3"/>
        <v>0.10741687979539639</v>
      </c>
      <c r="I21" s="182">
        <f t="shared" si="3"/>
        <v>5.5427251732101668E-2</v>
      </c>
      <c r="J21" s="182">
        <f t="shared" si="3"/>
        <v>7.9878903159384312E-2</v>
      </c>
      <c r="K21" s="187"/>
    </row>
    <row r="22" spans="2:11">
      <c r="B22" s="167" t="s">
        <v>349</v>
      </c>
      <c r="C22" s="167"/>
      <c r="D22" s="184">
        <f t="shared" si="3"/>
        <v>-0.14732142857142858</v>
      </c>
      <c r="E22" s="184">
        <f t="shared" si="3"/>
        <v>4.1884816753926704E-2</v>
      </c>
      <c r="F22" s="184">
        <f t="shared" si="3"/>
        <v>-5.0251256281407036E-3</v>
      </c>
      <c r="G22" s="184">
        <f t="shared" si="3"/>
        <v>-2.0202020202020204E-2</v>
      </c>
      <c r="H22" s="184">
        <f t="shared" si="3"/>
        <v>8.2474226804123418E-3</v>
      </c>
      <c r="I22" s="184">
        <f t="shared" si="3"/>
        <v>0.11451942740286301</v>
      </c>
      <c r="J22" s="184">
        <f t="shared" si="3"/>
        <v>0</v>
      </c>
      <c r="K22" s="188"/>
    </row>
    <row r="23" spans="2:11">
      <c r="B23" s="177" t="s">
        <v>350</v>
      </c>
      <c r="C23" s="177"/>
      <c r="D23" s="182">
        <f t="shared" si="3"/>
        <v>-0.1475195822454308</v>
      </c>
      <c r="E23" s="182">
        <f t="shared" si="3"/>
        <v>4.1653905053598776E-2</v>
      </c>
      <c r="F23" s="182">
        <f t="shared" si="3"/>
        <v>3.4695677741840632E-2</v>
      </c>
      <c r="G23" s="182">
        <f t="shared" si="3"/>
        <v>-2.9838022165387893E-2</v>
      </c>
      <c r="H23" s="182">
        <f t="shared" si="3"/>
        <v>6.561218512009373E-2</v>
      </c>
      <c r="I23" s="182">
        <f t="shared" si="3"/>
        <v>0.11462341946124244</v>
      </c>
      <c r="J23" s="182">
        <f t="shared" si="3"/>
        <v>7.5709001233038441E-4</v>
      </c>
      <c r="K23" s="187"/>
    </row>
    <row r="25" spans="2:11">
      <c r="B25" s="180" t="s">
        <v>342</v>
      </c>
    </row>
    <row r="26" spans="2:11">
      <c r="B26" t="s">
        <v>343</v>
      </c>
    </row>
    <row r="27" spans="2:11">
      <c r="B27" t="s">
        <v>344</v>
      </c>
    </row>
    <row r="28" spans="2:11">
      <c r="B28" t="s">
        <v>345</v>
      </c>
    </row>
    <row r="29" spans="2:11">
      <c r="B29" t="s">
        <v>346</v>
      </c>
    </row>
    <row r="30" spans="2:11">
      <c r="B30" t="s">
        <v>347</v>
      </c>
    </row>
    <row r="31" spans="2:11">
      <c r="B31" t="s">
        <v>351</v>
      </c>
    </row>
  </sheetData>
  <mergeCells count="3">
    <mergeCell ref="B15:M15"/>
    <mergeCell ref="B2:M2"/>
    <mergeCell ref="B3:M3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D747-C037-4F90-B3BA-2581525A3B5D}">
  <dimension ref="A1:V13"/>
  <sheetViews>
    <sheetView workbookViewId="0">
      <selection activeCell="H21" sqref="H21"/>
    </sheetView>
  </sheetViews>
  <sheetFormatPr defaultRowHeight="16.2"/>
  <cols>
    <col min="2" max="2" width="12.44140625" customWidth="1"/>
    <col min="3" max="4" width="11" customWidth="1"/>
    <col min="5" max="5" width="1.109375" customWidth="1"/>
    <col min="6" max="17" width="11" customWidth="1"/>
    <col min="18" max="18" width="1.109375" customWidth="1"/>
    <col min="19" max="22" width="11" customWidth="1"/>
  </cols>
  <sheetData>
    <row r="1" spans="1:22">
      <c r="A1" s="158"/>
      <c r="B1" s="158"/>
      <c r="C1" s="157">
        <v>2025.11</v>
      </c>
      <c r="D1" s="157">
        <v>2025.12</v>
      </c>
      <c r="E1" s="157"/>
      <c r="F1" s="157">
        <v>2026.01</v>
      </c>
      <c r="G1" s="157">
        <v>2026.02</v>
      </c>
      <c r="H1" s="157">
        <v>2026.03</v>
      </c>
      <c r="I1" s="157">
        <v>2026.04</v>
      </c>
      <c r="J1" s="157">
        <v>2026.05</v>
      </c>
      <c r="K1" s="157">
        <v>2026.06</v>
      </c>
      <c r="L1" s="157">
        <v>2026.07</v>
      </c>
      <c r="M1" s="157">
        <v>2026.08</v>
      </c>
      <c r="N1" s="157">
        <v>2026.09</v>
      </c>
      <c r="O1" s="157">
        <v>2026.1</v>
      </c>
      <c r="P1" s="157">
        <v>2026.11</v>
      </c>
      <c r="Q1" s="157">
        <v>2026.12</v>
      </c>
      <c r="R1" s="157"/>
      <c r="S1" s="157"/>
      <c r="T1" s="157"/>
      <c r="U1" s="157"/>
      <c r="V1" s="157"/>
    </row>
    <row r="2" spans="1:22">
      <c r="A2" s="224" t="s">
        <v>278</v>
      </c>
      <c r="B2" s="156" t="s">
        <v>277</v>
      </c>
      <c r="C2" s="163">
        <v>0.47</v>
      </c>
      <c r="D2" s="163">
        <v>0.43</v>
      </c>
      <c r="E2" s="164"/>
      <c r="F2" s="163">
        <v>0.46</v>
      </c>
      <c r="G2" s="164">
        <v>0.42</v>
      </c>
      <c r="H2" s="163">
        <v>0.49</v>
      </c>
      <c r="I2" s="164">
        <v>0.47</v>
      </c>
      <c r="J2" s="163">
        <v>0.5</v>
      </c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</row>
    <row r="3" spans="1:22">
      <c r="A3" s="224"/>
      <c r="B3" s="156" t="s">
        <v>276</v>
      </c>
      <c r="C3" s="164">
        <f>3.87+C2</f>
        <v>4.34</v>
      </c>
      <c r="D3" s="164">
        <f>C3+D2</f>
        <v>4.7699999999999996</v>
      </c>
      <c r="E3" s="164"/>
      <c r="F3" s="165">
        <f t="shared" ref="F3:Q3" si="0">E3+F2</f>
        <v>0.46</v>
      </c>
      <c r="G3" s="165">
        <f t="shared" si="0"/>
        <v>0.88</v>
      </c>
      <c r="H3" s="165">
        <f t="shared" si="0"/>
        <v>1.37</v>
      </c>
      <c r="I3" s="165">
        <f t="shared" si="0"/>
        <v>1.84</v>
      </c>
      <c r="J3" s="165">
        <f t="shared" si="0"/>
        <v>2.34</v>
      </c>
      <c r="K3" s="153">
        <f t="shared" si="0"/>
        <v>2.34</v>
      </c>
      <c r="L3" s="153">
        <f t="shared" si="0"/>
        <v>2.34</v>
      </c>
      <c r="M3" s="153">
        <f t="shared" si="0"/>
        <v>2.34</v>
      </c>
      <c r="N3" s="153">
        <f t="shared" si="0"/>
        <v>2.34</v>
      </c>
      <c r="O3" s="153">
        <f t="shared" si="0"/>
        <v>2.34</v>
      </c>
      <c r="P3" s="153">
        <f t="shared" si="0"/>
        <v>2.34</v>
      </c>
      <c r="Q3" s="153">
        <f t="shared" si="0"/>
        <v>2.34</v>
      </c>
      <c r="R3" s="153"/>
      <c r="S3" s="153"/>
      <c r="T3" s="153"/>
      <c r="U3" s="153"/>
      <c r="V3" s="153"/>
    </row>
    <row r="4" spans="1:22" hidden="1">
      <c r="A4" s="224"/>
      <c r="B4" s="155" t="s">
        <v>275</v>
      </c>
      <c r="C4" s="166">
        <v>23112.129747400701</v>
      </c>
      <c r="D4" s="166">
        <v>18049.316333740899</v>
      </c>
      <c r="E4" s="166"/>
      <c r="F4" s="166">
        <v>17145.4583278928</v>
      </c>
      <c r="G4" s="166">
        <v>15523.5543110693</v>
      </c>
      <c r="H4" s="164"/>
      <c r="I4" s="164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</row>
    <row r="5" spans="1:22">
      <c r="A5" s="224" t="s">
        <v>274</v>
      </c>
      <c r="B5" s="154" t="s">
        <v>272</v>
      </c>
      <c r="C5" s="164">
        <v>0.44</v>
      </c>
      <c r="D5" s="164">
        <v>0.35</v>
      </c>
      <c r="E5" s="164"/>
      <c r="F5" s="164">
        <v>0.43</v>
      </c>
      <c r="G5" s="163">
        <v>0.45</v>
      </c>
      <c r="H5" s="164">
        <v>0.42</v>
      </c>
      <c r="I5" s="163">
        <v>0.48</v>
      </c>
      <c r="J5" s="153">
        <v>0.44</v>
      </c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</row>
    <row r="6" spans="1:22">
      <c r="A6" s="224"/>
      <c r="B6" s="154" t="s">
        <v>271</v>
      </c>
      <c r="C6" s="165">
        <f>4.2+C5</f>
        <v>4.6400000000000006</v>
      </c>
      <c r="D6" s="165">
        <f>C6+D5</f>
        <v>4.99</v>
      </c>
      <c r="E6" s="164"/>
      <c r="F6" s="164">
        <f t="shared" ref="F6:Q6" si="1">E6+F5</f>
        <v>0.43</v>
      </c>
      <c r="G6" s="165">
        <f t="shared" si="1"/>
        <v>0.88</v>
      </c>
      <c r="H6" s="164">
        <f t="shared" si="1"/>
        <v>1.3</v>
      </c>
      <c r="I6" s="164">
        <f t="shared" si="1"/>
        <v>1.78</v>
      </c>
      <c r="J6" s="153">
        <f t="shared" si="1"/>
        <v>2.2200000000000002</v>
      </c>
      <c r="K6" s="153">
        <f t="shared" si="1"/>
        <v>2.2200000000000002</v>
      </c>
      <c r="L6" s="153">
        <f t="shared" si="1"/>
        <v>2.2200000000000002</v>
      </c>
      <c r="M6" s="153">
        <f t="shared" si="1"/>
        <v>2.2200000000000002</v>
      </c>
      <c r="N6" s="153">
        <f t="shared" si="1"/>
        <v>2.2200000000000002</v>
      </c>
      <c r="O6" s="153">
        <f t="shared" si="1"/>
        <v>2.2200000000000002</v>
      </c>
      <c r="P6" s="153">
        <f t="shared" si="1"/>
        <v>2.2200000000000002</v>
      </c>
      <c r="Q6" s="153">
        <f t="shared" si="1"/>
        <v>2.2200000000000002</v>
      </c>
      <c r="R6" s="153"/>
      <c r="S6" s="153"/>
      <c r="T6" s="153"/>
      <c r="U6" s="153"/>
      <c r="V6" s="153"/>
    </row>
    <row r="7" spans="1:22" hidden="1">
      <c r="A7" s="224"/>
      <c r="B7" s="155" t="s">
        <v>275</v>
      </c>
      <c r="C7" s="166">
        <v>21453.973000000002</v>
      </c>
      <c r="D7" s="166">
        <v>23264.555</v>
      </c>
      <c r="E7" s="166"/>
      <c r="F7" s="166">
        <v>20413.606</v>
      </c>
      <c r="G7" s="166">
        <v>18786.333999999999</v>
      </c>
      <c r="H7" s="164"/>
      <c r="I7" s="164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</row>
    <row r="8" spans="1:22" hidden="1">
      <c r="A8" s="224" t="s">
        <v>273</v>
      </c>
      <c r="B8" s="154" t="s">
        <v>272</v>
      </c>
      <c r="C8" s="166">
        <v>0.3</v>
      </c>
      <c r="D8" s="164">
        <v>0.36</v>
      </c>
      <c r="E8" s="164"/>
      <c r="F8" s="164">
        <v>0.36</v>
      </c>
      <c r="G8" s="164">
        <v>0.33</v>
      </c>
      <c r="H8" s="164">
        <v>0.34</v>
      </c>
      <c r="I8" s="164">
        <v>0.36</v>
      </c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2" hidden="1">
      <c r="A9" s="224"/>
      <c r="B9" s="154" t="s">
        <v>271</v>
      </c>
      <c r="C9" s="164">
        <f>3.15+C8</f>
        <v>3.4499999999999997</v>
      </c>
      <c r="D9" s="166">
        <f>C9+D8</f>
        <v>3.8099999999999996</v>
      </c>
      <c r="E9" s="164"/>
      <c r="F9" s="164">
        <f t="shared" ref="F9:Q9" si="2">E9+F8</f>
        <v>0.36</v>
      </c>
      <c r="G9" s="164">
        <f t="shared" si="2"/>
        <v>0.69</v>
      </c>
      <c r="H9" s="164">
        <f t="shared" si="2"/>
        <v>1.03</v>
      </c>
      <c r="I9" s="164">
        <f t="shared" si="2"/>
        <v>1.3900000000000001</v>
      </c>
      <c r="J9" s="153">
        <f t="shared" si="2"/>
        <v>1.3900000000000001</v>
      </c>
      <c r="K9" s="153">
        <f t="shared" si="2"/>
        <v>1.3900000000000001</v>
      </c>
      <c r="L9" s="153">
        <f t="shared" si="2"/>
        <v>1.3900000000000001</v>
      </c>
      <c r="M9" s="153">
        <f t="shared" si="2"/>
        <v>1.3900000000000001</v>
      </c>
      <c r="N9" s="153">
        <f t="shared" si="2"/>
        <v>1.3900000000000001</v>
      </c>
      <c r="O9" s="153">
        <f t="shared" si="2"/>
        <v>1.3900000000000001</v>
      </c>
      <c r="P9" s="153">
        <f t="shared" si="2"/>
        <v>1.3900000000000001</v>
      </c>
      <c r="Q9" s="153">
        <f t="shared" si="2"/>
        <v>1.3900000000000001</v>
      </c>
      <c r="R9" s="153"/>
      <c r="S9" s="153"/>
      <c r="T9" s="153"/>
      <c r="U9" s="153"/>
      <c r="V9" s="153"/>
    </row>
    <row r="10" spans="1:22" hidden="1">
      <c r="A10" s="224"/>
      <c r="B10" s="155" t="s">
        <v>275</v>
      </c>
      <c r="C10" s="166">
        <v>10312.164414000001</v>
      </c>
      <c r="D10" s="166">
        <v>11340.651773</v>
      </c>
      <c r="E10" s="166"/>
      <c r="F10" s="166">
        <v>9663.0527760000004</v>
      </c>
      <c r="G10" s="166">
        <v>9005.1328109999995</v>
      </c>
      <c r="H10" s="164"/>
      <c r="I10" s="164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</row>
    <row r="11" spans="1:22">
      <c r="C11" s="87"/>
      <c r="D11" s="87"/>
      <c r="E11" s="87"/>
      <c r="F11" s="87"/>
      <c r="G11" s="87"/>
      <c r="H11" s="87"/>
      <c r="I11" s="87"/>
    </row>
    <row r="12" spans="1:22">
      <c r="B12" s="161" t="s">
        <v>279</v>
      </c>
    </row>
    <row r="13" spans="1:22">
      <c r="B13" s="162" t="s">
        <v>280</v>
      </c>
    </row>
  </sheetData>
  <mergeCells count="3">
    <mergeCell ref="A2:A4"/>
    <mergeCell ref="A5:A7"/>
    <mergeCell ref="A8:A1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EB15-C72C-4A50-AB69-56ED34B05BEC}">
  <dimension ref="B2:Q33"/>
  <sheetViews>
    <sheetView tabSelected="1" zoomScale="85" zoomScaleNormal="85" workbookViewId="0">
      <selection activeCell="K25" sqref="K25"/>
    </sheetView>
  </sheetViews>
  <sheetFormatPr defaultRowHeight="17.399999999999999"/>
  <cols>
    <col min="1" max="1" width="8.88671875" style="159"/>
    <col min="2" max="2" width="15.77734375" style="159" customWidth="1"/>
    <col min="3" max="7" width="17.5546875" style="159" customWidth="1"/>
    <col min="8" max="8" width="8.88671875" style="159"/>
    <col min="9" max="9" width="0" style="159" hidden="1" customWidth="1"/>
    <col min="10" max="16384" width="8.88671875" style="159"/>
  </cols>
  <sheetData>
    <row r="2" spans="2:17">
      <c r="B2" s="159" t="s">
        <v>359</v>
      </c>
      <c r="I2" s="159" t="s">
        <v>360</v>
      </c>
    </row>
    <row r="3" spans="2:17">
      <c r="B3" s="159" t="s">
        <v>361</v>
      </c>
      <c r="C3" s="192">
        <v>2026</v>
      </c>
      <c r="I3" s="159">
        <f>IF(C3=2023,C4,IF(C3=2024,C4+12,IF(C3=2025,C4+25,IF(C3=2026,C4+38,0))))</f>
        <v>43</v>
      </c>
    </row>
    <row r="4" spans="2:17">
      <c r="B4" s="159" t="s">
        <v>362</v>
      </c>
      <c r="C4" s="192">
        <v>5</v>
      </c>
    </row>
    <row r="6" spans="2:17" ht="20.399999999999999">
      <c r="B6" s="193" t="str">
        <f>"自結"&amp;C3&amp;"年"&amp;C4&amp;"月營收比較表"</f>
        <v>自結2026年5月營收比較表</v>
      </c>
    </row>
    <row r="7" spans="2:17">
      <c r="G7" s="159" t="s">
        <v>363</v>
      </c>
      <c r="J7" s="195"/>
      <c r="K7" s="195"/>
      <c r="L7" s="195"/>
      <c r="M7" s="195"/>
      <c r="N7" s="195"/>
      <c r="O7" s="195"/>
      <c r="P7" s="195"/>
      <c r="Q7" s="195"/>
    </row>
    <row r="8" spans="2:17">
      <c r="B8" s="194" t="str">
        <f>"自結"&amp;C3&amp;"年"&amp;C4&amp;"月單月營收比較表"</f>
        <v>自結2026年5月單月營收比較表</v>
      </c>
      <c r="J8" s="195"/>
      <c r="K8" s="195"/>
      <c r="L8" s="195"/>
      <c r="M8" s="195"/>
      <c r="N8" s="195"/>
      <c r="O8" s="195"/>
      <c r="P8" s="195"/>
      <c r="Q8" s="195"/>
    </row>
    <row r="9" spans="2:17">
      <c r="B9" s="196" t="s">
        <v>293</v>
      </c>
      <c r="C9" s="196" t="str">
        <f>C3&amp;"年"&amp;C4&amp;"月"</f>
        <v>2026年5月</v>
      </c>
      <c r="D9" s="196" t="str">
        <f>IF(C4=1,C3-1&amp;"年12月",C3&amp;"年"&amp;(C4-1)&amp;"月")</f>
        <v>2026年4月</v>
      </c>
      <c r="E9" s="196" t="s">
        <v>294</v>
      </c>
      <c r="F9" s="196" t="str">
        <f>(C3-1)&amp;"年"&amp;C4&amp;"月"</f>
        <v>2025年5月</v>
      </c>
      <c r="G9" s="196" t="s">
        <v>295</v>
      </c>
      <c r="J9" s="195"/>
      <c r="K9" s="195"/>
      <c r="L9" s="195"/>
      <c r="M9" s="195"/>
      <c r="N9" s="195"/>
      <c r="O9" s="195"/>
      <c r="P9" s="195"/>
      <c r="Q9" s="195"/>
    </row>
    <row r="10" spans="2:17">
      <c r="B10" s="197" t="s">
        <v>296</v>
      </c>
      <c r="C10" s="198" cm="1">
        <f t="array" ref="C10">INDEX(純數字!$C$4:$AZ$4,1,$I$3)</f>
        <v>16440.6828232767</v>
      </c>
      <c r="D10" s="198" cm="1">
        <f t="array" ref="D10">IF($C$4=1,INDEX(純數字!$C$4:$AZ$4,1,$I$3-2),INDEX(純數字!$C$4:$AZ$4,1,$I$3-1))</f>
        <v>15669.304640660601</v>
      </c>
      <c r="E10" s="199">
        <f>IFERROR((C10-D10)/D10,"-")</f>
        <v>4.9228616094069311E-2</v>
      </c>
      <c r="F10" s="198" cm="1">
        <f t="array" ref="F10">INDEX(純數字!$C$4:$AZ$4,1,$I$3-13)</f>
        <v>15823.031730000001</v>
      </c>
      <c r="G10" s="199">
        <f>IFERROR((C10-F10)/F10,"-")</f>
        <v>3.9034939941733883E-2</v>
      </c>
      <c r="J10" s="195"/>
      <c r="K10" s="195"/>
      <c r="L10" s="195"/>
      <c r="M10" s="195"/>
      <c r="N10" s="195"/>
      <c r="O10" s="195"/>
      <c r="P10" s="195"/>
      <c r="Q10" s="195"/>
    </row>
    <row r="11" spans="2:17">
      <c r="B11" s="197" t="s">
        <v>3</v>
      </c>
      <c r="C11" s="198" cm="1">
        <f t="array" ref="C11">INDEX(純數字!$C$5:$AZ$5,1,$I$3)</f>
        <v>3834.4210230375375</v>
      </c>
      <c r="D11" s="198" cm="1">
        <f t="array" ref="D11">IF($C$4=1,INDEX(純數字!$C$5:$AZ$5,1,$I$3-2),INDEX(純數字!$C$5:$AZ$5,1,$I$3-1))</f>
        <v>3787.6145088975177</v>
      </c>
      <c r="E11" s="199">
        <f>IFERROR((C11-D11)/D11,"-")</f>
        <v>1.235778193109837E-2</v>
      </c>
      <c r="F11" s="198" cm="1">
        <f t="array" ref="F11">INDEX(純數字!$C$5:$AZ$5,1,$I$3-13)</f>
        <v>3496.4752810500004</v>
      </c>
      <c r="G11" s="199">
        <f>IFERROR((C11-F11)/F11,"-")</f>
        <v>9.665326216350402E-2</v>
      </c>
      <c r="J11" s="195"/>
      <c r="K11" s="195"/>
      <c r="L11" s="195"/>
      <c r="M11" s="195"/>
      <c r="N11" s="195"/>
      <c r="O11" s="195"/>
      <c r="P11" s="195"/>
      <c r="Q11" s="195"/>
    </row>
    <row r="12" spans="2:17">
      <c r="B12" s="197" t="s">
        <v>297</v>
      </c>
      <c r="C12" s="198" cm="1">
        <f t="array" ref="C12">INDEX(純數字!$C$6:$AZ$6,1,$I$3)</f>
        <v>2043.5706887158929</v>
      </c>
      <c r="D12" s="198" cm="1">
        <f t="array" ref="D12">IF($C$4=1,INDEX(純數字!$C$6:$AZ$6,1,$I$3-2),INDEX(純數字!$C$6:$AZ$6,1,$I$3-1))</f>
        <v>1989.4219952585415</v>
      </c>
      <c r="E12" s="199">
        <f>IFERROR((C12-D12)/D12,"-")</f>
        <v>2.7218304405202006E-2</v>
      </c>
      <c r="F12" s="198" cm="1">
        <f t="array" ref="F12">INDEX(純數字!$C$6:$AZ$6,1,$I$3-13)</f>
        <v>1691.6897090499999</v>
      </c>
      <c r="G12" s="199">
        <f>IFERROR((C12-F12)/F12,"-")</f>
        <v>0.20800562761802122</v>
      </c>
      <c r="J12" s="195"/>
      <c r="K12" s="195"/>
      <c r="L12" s="195"/>
      <c r="M12" s="195"/>
      <c r="N12" s="195"/>
      <c r="O12" s="195"/>
      <c r="P12" s="195"/>
      <c r="Q12" s="195"/>
    </row>
    <row r="13" spans="2:17">
      <c r="B13" s="197" t="s">
        <v>298</v>
      </c>
      <c r="C13" s="198" cm="1">
        <f t="array" ref="C13">INDEX(純數字!$C$7:$AZ$7,1,$I$3)</f>
        <v>1516.3125629991519</v>
      </c>
      <c r="D13" s="198" cm="1">
        <f t="array" ref="D13">IF($C$4=1,INDEX(純數字!$C$7:$AZ$7,1,$I$3-2),INDEX(純數字!$C$7:$AZ$7,1,$I$3-1))</f>
        <v>1425.7521230004693</v>
      </c>
      <c r="E13" s="199">
        <f>IFERROR((C13-D13)/D13,"-")</f>
        <v>6.3517660985908109E-2</v>
      </c>
      <c r="F13" s="198" cm="1">
        <f t="array" ref="F13">INDEX(純數字!$C$7:$AZ$7,1,$I$3-13)</f>
        <v>1004.8259840001909</v>
      </c>
      <c r="G13" s="199">
        <f>IFERROR((C13-F13)/F13,"-")</f>
        <v>0.50903000832317624</v>
      </c>
      <c r="J13" s="195"/>
      <c r="K13" s="195"/>
      <c r="L13" s="195"/>
      <c r="M13" s="195"/>
      <c r="N13" s="195"/>
      <c r="O13" s="195"/>
      <c r="P13" s="195"/>
      <c r="Q13" s="195"/>
    </row>
    <row r="14" spans="2:17">
      <c r="B14" s="197" t="s">
        <v>299</v>
      </c>
      <c r="C14" s="198" cm="1">
        <f t="array" ref="C14">INDEX(純數字!$C$8:$AZ$8,1,$I$3)</f>
        <v>0.5</v>
      </c>
      <c r="D14" s="198" cm="1">
        <f t="array" ref="D14">IF($C$4=1,INDEX(純數字!$C$8:$AZ$8,1,$I$3-2),INDEX(純數字!$C$8:$AZ$8,1,$I$3-1))</f>
        <v>0.47</v>
      </c>
      <c r="E14" s="199">
        <f>IFERROR((C14-D14)/D14,"-")</f>
        <v>6.3829787234042618E-2</v>
      </c>
      <c r="F14" s="198" cm="1">
        <f t="array" ref="F14">INDEX(純數字!$C$8:$AZ$8,1,$I$3-13)</f>
        <v>0.34</v>
      </c>
      <c r="G14" s="199">
        <f>IFERROR((C14-F14)/F14,"-")</f>
        <v>0.47058823529411753</v>
      </c>
      <c r="J14" s="195"/>
      <c r="K14" s="195"/>
      <c r="L14" s="195"/>
      <c r="M14" s="195"/>
      <c r="N14" s="195"/>
      <c r="O14" s="195"/>
      <c r="P14" s="195"/>
      <c r="Q14" s="195"/>
    </row>
    <row r="15" spans="2:17">
      <c r="J15" s="195"/>
      <c r="K15" s="195"/>
      <c r="L15" s="195"/>
      <c r="M15" s="195"/>
      <c r="N15" s="195"/>
      <c r="O15" s="195"/>
      <c r="P15" s="195"/>
      <c r="Q15" s="195"/>
    </row>
    <row r="16" spans="2:17">
      <c r="J16" s="195"/>
      <c r="K16" s="195"/>
      <c r="L16" s="195"/>
      <c r="M16" s="195"/>
      <c r="N16" s="195"/>
      <c r="O16" s="195"/>
      <c r="P16" s="195"/>
      <c r="Q16" s="195"/>
    </row>
    <row r="17" spans="2:17">
      <c r="B17" s="194" t="str">
        <f>"自結"&amp;C3&amp;"年1-"&amp;C4&amp;"月累計營收比較表"</f>
        <v>自結2026年1-5月累計營收比較表</v>
      </c>
      <c r="J17" s="195"/>
      <c r="K17" s="195"/>
      <c r="L17" s="195"/>
      <c r="M17" s="195"/>
      <c r="N17" s="195"/>
      <c r="O17" s="195"/>
      <c r="P17" s="195"/>
      <c r="Q17" s="195"/>
    </row>
    <row r="18" spans="2:17">
      <c r="B18" s="196" t="s">
        <v>293</v>
      </c>
      <c r="C18" s="196" t="str">
        <f>C3&amp;"年1-"&amp;C4&amp;"月"</f>
        <v>2026年1-5月</v>
      </c>
      <c r="D18" s="196" t="str">
        <f>(C3-1)&amp;"年1-"&amp;C4&amp;"月"</f>
        <v>2025年1-5月</v>
      </c>
      <c r="E18" s="196" t="s">
        <v>295</v>
      </c>
      <c r="J18" s="195"/>
      <c r="K18" s="195"/>
      <c r="L18" s="195"/>
      <c r="M18" s="195"/>
      <c r="N18" s="195"/>
      <c r="O18" s="195"/>
      <c r="P18" s="195"/>
      <c r="Q18" s="195"/>
    </row>
    <row r="19" spans="2:17">
      <c r="B19" s="197" t="s">
        <v>296</v>
      </c>
      <c r="C19" s="198">
        <f ca="1">SUM(OFFSET(純數字!$C$4,0,IF($C$3=2023,0,IF($C$3=2024,12,IF($C$3=2025,25,IF($C$3=2026,38,0)))),1,$C$4))</f>
        <v>81888.290245308701</v>
      </c>
      <c r="D19" s="198">
        <f ca="1">SUM(OFFSET(純數字!$C$4,0,IF($C$3=2023,-13,IF($C$3=2024,0,IF($C$3=2025,12,IF($C$3=2026,25,0)))),1,$C$4))</f>
        <v>79383.691145999997</v>
      </c>
      <c r="E19" s="199">
        <f ca="1">IFERROR((C19-D19)/D19,"-")</f>
        <v>3.155054978109198E-2</v>
      </c>
      <c r="J19" s="195"/>
      <c r="K19" s="195"/>
      <c r="L19" s="195"/>
      <c r="M19" s="195"/>
      <c r="N19" s="195"/>
      <c r="O19" s="195"/>
      <c r="P19" s="195"/>
      <c r="Q19" s="195"/>
    </row>
    <row r="20" spans="2:17">
      <c r="B20" s="197" t="s">
        <v>3</v>
      </c>
      <c r="C20" s="198">
        <f ca="1">SUM(OFFSET(純數字!$C$5,0,IF($C$3=2023,0,IF($C$3=2024,12,IF($C$3=2025,25,IF($C$3=2026,38,0)))),1,$C$4))</f>
        <v>18975.925530324908</v>
      </c>
      <c r="D20" s="198">
        <f ca="1">SUM(OFFSET(純數字!$C$5,0,IF($C$3=2023,-13,IF($C$3=2024,0,IF($C$3=2025,12,IF($C$3=2026,25,0)))),1,$C$4))</f>
        <v>17488.80587108</v>
      </c>
      <c r="E20" s="199">
        <f ca="1">IFERROR((C20-D20)/D20,"-")</f>
        <v>8.5032658616449805E-2</v>
      </c>
      <c r="J20" s="195"/>
      <c r="K20" s="195"/>
      <c r="L20" s="195"/>
      <c r="M20" s="195"/>
      <c r="N20" s="195"/>
      <c r="O20" s="195"/>
      <c r="P20" s="195"/>
      <c r="Q20" s="195"/>
    </row>
    <row r="21" spans="2:17">
      <c r="B21" s="197" t="s">
        <v>297</v>
      </c>
      <c r="C21" s="198">
        <f ca="1">SUM(OFFSET(純數字!$C$6,0,IF($C$3=2023,0,IF($C$3=2024,12,IF($C$3=2025,25,IF($C$3=2026,38,0)))),1,$C$4))</f>
        <v>9965.7391340555696</v>
      </c>
      <c r="D21" s="198">
        <f ca="1">SUM(OFFSET(純數字!$C$6,0,IF($C$3=2023,-13,IF($C$3=2024,0,IF($C$3=2025,12,IF($C$3=2026,25,0)))),1,$C$4))</f>
        <v>8471.9551690799999</v>
      </c>
      <c r="E21" s="199">
        <f ca="1">IFERROR((C21-D21)/D21,"-")</f>
        <v>0.17632104221082476</v>
      </c>
      <c r="J21" s="195"/>
      <c r="K21" s="195"/>
      <c r="L21" s="195"/>
      <c r="M21" s="195"/>
      <c r="N21" s="195"/>
      <c r="O21" s="195"/>
      <c r="P21" s="195"/>
      <c r="Q21" s="195"/>
    </row>
    <row r="22" spans="2:17">
      <c r="B22" s="197" t="s">
        <v>298</v>
      </c>
      <c r="C22" s="198">
        <f ca="1">SUM(OFFSET(純數字!$C$7,0,IF($C$3=2023,0,IF($C$3=2024,12,IF($C$3=2025,25,IF($C$3=2026,38,0)))),1,$C$4))</f>
        <v>7088.3850329995475</v>
      </c>
      <c r="D22" s="198">
        <f ca="1">SUM(OFFSET(純數字!$C$7,0,IF($C$3=2023,-13,IF($C$3=2024,0,IF($C$3=2025,12,IF($C$3=2026,25,0)))),1,$C$4))</f>
        <v>5703.456189999969</v>
      </c>
      <c r="E22" s="199">
        <f ca="1">IFERROR((C22-D22)/D22,"-")</f>
        <v>0.24282273710242808</v>
      </c>
      <c r="J22" s="195"/>
      <c r="K22" s="195"/>
      <c r="L22" s="195"/>
      <c r="M22" s="195"/>
      <c r="N22" s="195"/>
      <c r="O22" s="195"/>
      <c r="P22" s="195"/>
      <c r="Q22" s="195"/>
    </row>
    <row r="23" spans="2:17">
      <c r="B23" s="197" t="s">
        <v>299</v>
      </c>
      <c r="C23" s="198">
        <f ca="1">SUM(OFFSET(純數字!$C$8,0,IF($C$3=2023,0,IF($C$3=2024,12,IF($C$3=2025,25,IF($C$3=2026,38,0)))),1,$C$4))</f>
        <v>2.34</v>
      </c>
      <c r="D23" s="198">
        <f ca="1">SUM(OFFSET(純數字!$C$8,0,IF($C$3=2023,-13,IF($C$3=2024,0,IF($C$3=2025,12,IF($C$3=2026,25,0)))),1,$C$4))</f>
        <v>1.8900000000000001</v>
      </c>
      <c r="E23" s="199">
        <f ca="1">IFERROR((C23-D23)/D23,"-")</f>
        <v>0.23809523809523794</v>
      </c>
      <c r="J23" s="195"/>
      <c r="K23" s="195"/>
      <c r="L23" s="195"/>
      <c r="M23" s="195"/>
      <c r="N23" s="195"/>
      <c r="O23" s="195"/>
      <c r="P23" s="195"/>
      <c r="Q23" s="195"/>
    </row>
    <row r="24" spans="2:17">
      <c r="J24" s="195"/>
      <c r="K24" s="195"/>
      <c r="L24" s="195"/>
      <c r="M24" s="195"/>
      <c r="N24" s="195"/>
      <c r="O24" s="195"/>
      <c r="P24" s="195"/>
      <c r="Q24" s="195"/>
    </row>
    <row r="25" spans="2:17">
      <c r="J25" s="195"/>
      <c r="K25" s="195"/>
      <c r="L25" s="195"/>
      <c r="M25" s="195"/>
      <c r="N25" s="195"/>
      <c r="O25" s="195"/>
      <c r="P25" s="195"/>
      <c r="Q25" s="195"/>
    </row>
    <row r="26" spans="2:17">
      <c r="B26" s="194" t="s">
        <v>354</v>
      </c>
      <c r="J26" s="195"/>
      <c r="K26" s="195"/>
      <c r="L26" s="195"/>
      <c r="M26" s="195"/>
      <c r="N26" s="195"/>
      <c r="O26" s="195"/>
      <c r="P26" s="195"/>
      <c r="Q26" s="195"/>
    </row>
    <row r="27" spans="2:17">
      <c r="B27" s="196" t="s">
        <v>293</v>
      </c>
      <c r="C27" s="196" t="s">
        <v>355</v>
      </c>
      <c r="D27" s="196" t="s">
        <v>356</v>
      </c>
      <c r="E27" s="196" t="s">
        <v>353</v>
      </c>
      <c r="F27" s="196" t="s">
        <v>357</v>
      </c>
      <c r="G27" s="196" t="s">
        <v>295</v>
      </c>
      <c r="J27" s="195"/>
      <c r="K27" s="195"/>
      <c r="L27" s="195"/>
      <c r="M27" s="195"/>
      <c r="N27" s="195"/>
      <c r="O27" s="195"/>
      <c r="P27" s="195"/>
      <c r="Q27" s="195"/>
    </row>
    <row r="28" spans="2:17">
      <c r="B28" s="197" t="s">
        <v>364</v>
      </c>
      <c r="C28" s="198" cm="1">
        <f t="array" ref="C28">INDEX(純數字!$C$4:$AZ$4,1,$I$3)+INDEX(純數字!$C$4:$AZ$4,1,$I$3-1)+INDEX(純數字!$C$4:$AZ$4,1,$I$3-2)</f>
        <v>49219.277606346601</v>
      </c>
      <c r="D28" s="198" cm="1">
        <f t="array" ref="D28">INDEX(純數字!$C$4:$AZ$4,1,$I$3-3)+INDEX(純數字!$C$4:$AZ$4,1,$I$3-4)+INDEX(純數字!$C$4:$AZ$4,1,$I$3-5)</f>
        <v>32669.0126389621</v>
      </c>
      <c r="E28" s="199">
        <f>IF(D28=0,"",C28/D28-1)</f>
        <v>0.50660438227160043</v>
      </c>
      <c r="F28" s="197" cm="1">
        <f t="array" ref="F28">INDEX(純數字!$C$4:$AZ$4,1,$I$3-12)+INDEX(純數字!$C$4:$AZ$4,1,$I$3-13)+INDEX(純數字!$C$4:$AZ$4,1,$I$3-14)</f>
        <v>47471.014519000004</v>
      </c>
      <c r="G28" s="198">
        <f>IF(F28=0,"",C28/F28-1)</f>
        <v>3.6828011894434409E-2</v>
      </c>
      <c r="J28" s="195"/>
      <c r="K28" s="195"/>
      <c r="L28" s="195"/>
      <c r="M28" s="195"/>
      <c r="N28" s="195"/>
      <c r="O28" s="195"/>
      <c r="P28" s="195"/>
      <c r="Q28" s="195"/>
    </row>
    <row r="29" spans="2:17">
      <c r="B29" s="197" t="s">
        <v>3</v>
      </c>
      <c r="C29" s="198" cm="1">
        <f t="array" ref="C29">INDEX(純數字!$C$5:$AZ$5,1,$I$3)+INDEX(純數字!$C$5:$AZ$5,1,$I$3-1)+INDEX(純數字!$C$5:$AZ$5,1,$I$3-2)</f>
        <v>11519.352239893024</v>
      </c>
      <c r="D29" s="198" cm="1">
        <f t="array" ref="D29">INDEX(純數字!$C$5:$AZ$5,1,$I$3-3)+INDEX(純數字!$C$5:$AZ$5,1,$I$3-4)+INDEX(純數字!$C$5:$AZ$5,1,$I$3-5)</f>
        <v>7456.5732904318838</v>
      </c>
      <c r="E29" s="199">
        <f>IF(D29=0,"",C29/D29-1)</f>
        <v>0.54485871609072922</v>
      </c>
      <c r="F29" s="197" cm="1">
        <f t="array" ref="F29">INDEX(純數字!$C$5:$AZ$5,1,$I$3-12)+INDEX(純數字!$C$5:$AZ$5,1,$I$3-13)+INDEX(純數字!$C$5:$AZ$5,1,$I$3-14)</f>
        <v>10588.91983191</v>
      </c>
      <c r="G29" s="198">
        <f>IF(F29=0,"",C29/F29-1)</f>
        <v>8.7868491097566004E-2</v>
      </c>
      <c r="J29" s="195"/>
      <c r="K29" s="195"/>
      <c r="L29" s="195"/>
      <c r="M29" s="195"/>
      <c r="N29" s="195"/>
      <c r="O29" s="195"/>
      <c r="P29" s="195"/>
      <c r="Q29" s="195"/>
    </row>
    <row r="30" spans="2:17">
      <c r="B30" s="197" t="s">
        <v>365</v>
      </c>
      <c r="C30" s="198" cm="1">
        <f t="array" ref="C30">INDEX(純數字!$C$6:$AZ$6,1,$I$3)+INDEX(純數字!$C$6:$AZ$6,1,$I$3-1)+INDEX(純數字!$C$6:$AZ$6,1,$I$3-2)</f>
        <v>6127.4229895275021</v>
      </c>
      <c r="D30" s="198" cm="1">
        <f t="array" ref="D30">INDEX(純數字!$C$6:$AZ$6,1,$I$3-3)+INDEX(純數字!$C$6:$AZ$6,1,$I$3-4)+INDEX(純數字!$C$6:$AZ$6,1,$I$3-5)</f>
        <v>3838.3161445280671</v>
      </c>
      <c r="E30" s="199">
        <f>IF(D30=0,"",C30/D30-1)</f>
        <v>0.59638309060675043</v>
      </c>
      <c r="F30" s="197" cm="1">
        <f t="array" ref="F30">INDEX(純數字!$C$6:$AZ$6,1,$I$3-12)+INDEX(純數字!$C$6:$AZ$6,1,$I$3-13)+INDEX(純數字!$C$6:$AZ$6,1,$I$3-14)</f>
        <v>5168.48405791</v>
      </c>
      <c r="G30" s="198">
        <f>IF(F30=0,"",C30/F30-1)</f>
        <v>0.18553582073062858</v>
      </c>
      <c r="J30" s="195"/>
      <c r="K30" s="195"/>
      <c r="L30" s="195"/>
      <c r="M30" s="195"/>
      <c r="N30" s="195"/>
      <c r="O30" s="195"/>
      <c r="P30" s="195"/>
      <c r="Q30" s="195"/>
    </row>
    <row r="31" spans="2:17">
      <c r="B31" s="197" t="s">
        <v>366</v>
      </c>
      <c r="C31" s="198" cm="1">
        <f t="array" ref="C31">INDEX(純數字!$C$7:$AZ$7,1,$I$3)+INDEX(純數字!$C$7:$AZ$7,1,$I$3-1)+INDEX(純數字!$C$7:$AZ$7,1,$I$3-2)</f>
        <v>4441.2921159996567</v>
      </c>
      <c r="D31" s="198" cm="1">
        <f t="array" ref="D31">INDEX(純數字!$C$7:$AZ$7,1,$I$3-3)+INDEX(純數字!$C$7:$AZ$7,1,$I$3-4)+INDEX(純數字!$C$7:$AZ$7,1,$I$3-5)</f>
        <v>2647.0929169998899</v>
      </c>
      <c r="E31" s="199">
        <f>IF(D31=0,"",C31/D31-1)</f>
        <v>0.67779985639236306</v>
      </c>
      <c r="F31" s="197" cm="1">
        <f t="array" ref="F31">INDEX(純數字!$C$7:$AZ$7,1,$I$3-12)+INDEX(純數字!$C$7:$AZ$7,1,$I$3-13)+INDEX(純數字!$C$7:$AZ$7,1,$I$3-14)</f>
        <v>3289.1905719993483</v>
      </c>
      <c r="G31" s="198">
        <f>IF(F31=0,"",C31/F31-1)</f>
        <v>0.35026901566849578</v>
      </c>
      <c r="J31" s="195"/>
      <c r="K31" s="195"/>
      <c r="L31" s="195"/>
      <c r="M31" s="195"/>
      <c r="N31" s="195"/>
      <c r="O31" s="195"/>
      <c r="P31" s="195"/>
      <c r="Q31" s="195"/>
    </row>
    <row r="32" spans="2:17">
      <c r="B32" s="197" t="s">
        <v>299</v>
      </c>
      <c r="C32" s="198" cm="1">
        <f t="array" ref="C32">INDEX(純數字!$C$8:$AZ$8,1,$I$3)+INDEX(純數字!$C$8:$AZ$8,1,$I$3-1)+INDEX(純數字!$C$8:$AZ$8,1,$I$3-2)</f>
        <v>1.46</v>
      </c>
      <c r="D32" s="198" cm="1">
        <f t="array" ref="D32">INDEX(純數字!$C$8:$AZ$8,1,$I$3-3)+INDEX(純數字!$C$8:$AZ$8,1,$I$3-4)+INDEX(純數字!$C$8:$AZ$8,1,$I$3-5)</f>
        <v>0.88</v>
      </c>
      <c r="E32" s="199">
        <f>IF(D32=0,"",C32/D32-1)</f>
        <v>0.65909090909090895</v>
      </c>
      <c r="F32" s="197" cm="1">
        <f t="array" ref="F32">INDEX(純數字!$C$8:$AZ$8,1,$I$3-12)+INDEX(純數字!$C$8:$AZ$8,1,$I$3-13)+INDEX(純數字!$C$8:$AZ$8,1,$I$3-14)</f>
        <v>1.0900000000000001</v>
      </c>
      <c r="G32" s="198">
        <f>IF(F32=0,"",C32/F32-1)</f>
        <v>0.33944954128440363</v>
      </c>
      <c r="J32" s="200"/>
      <c r="K32" s="201"/>
      <c r="L32" s="201"/>
      <c r="M32" s="202"/>
      <c r="N32" s="201"/>
      <c r="O32" s="203"/>
    </row>
    <row r="33" spans="2:2">
      <c r="B33" s="204" t="s">
        <v>358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066A-434A-4313-AACF-EC24C268E47E}">
  <dimension ref="B1:G29"/>
  <sheetViews>
    <sheetView topLeftCell="A3" zoomScale="130" zoomScaleNormal="130" workbookViewId="0">
      <selection activeCell="L30" sqref="L30"/>
    </sheetView>
  </sheetViews>
  <sheetFormatPr defaultRowHeight="17.399999999999999"/>
  <cols>
    <col min="1" max="1" width="3.5546875" style="159" customWidth="1"/>
    <col min="2" max="2" width="10.33203125" style="159" customWidth="1"/>
    <col min="3" max="7" width="12.21875" style="159" customWidth="1"/>
    <col min="8" max="8" width="3.44140625" style="159" customWidth="1"/>
    <col min="9" max="9" width="12.6640625" style="159" customWidth="1"/>
    <col min="10" max="10" width="13.109375" style="159" bestFit="1" customWidth="1"/>
    <col min="11" max="11" width="11" style="159" bestFit="1" customWidth="1"/>
    <col min="12" max="12" width="8" style="159" bestFit="1" customWidth="1"/>
    <col min="13" max="13" width="13.109375" style="159" bestFit="1" customWidth="1"/>
    <col min="14" max="14" width="8" style="159" bestFit="1" customWidth="1"/>
    <col min="15" max="16384" width="8.88671875" style="159"/>
  </cols>
  <sheetData>
    <row r="1" spans="2:7" ht="15.6" customHeight="1"/>
    <row r="2" spans="2:7" ht="18" customHeight="1">
      <c r="B2" s="215" t="s">
        <v>288</v>
      </c>
      <c r="C2" s="215"/>
      <c r="D2" s="215"/>
      <c r="E2" s="215"/>
      <c r="F2" s="215"/>
      <c r="G2" s="215"/>
    </row>
    <row r="3" spans="2:7" ht="18" customHeight="1">
      <c r="B3" s="206"/>
      <c r="C3" s="206"/>
      <c r="D3" s="206"/>
      <c r="E3" s="206"/>
      <c r="F3" s="206"/>
      <c r="G3" s="207" t="s">
        <v>282</v>
      </c>
    </row>
    <row r="4" spans="2:7" ht="18" customHeight="1">
      <c r="B4" s="206" t="s">
        <v>287</v>
      </c>
      <c r="C4" s="206"/>
      <c r="D4" s="206"/>
      <c r="E4" s="206"/>
      <c r="F4" s="206"/>
      <c r="G4" s="207"/>
    </row>
    <row r="5" spans="2:7" ht="18" customHeight="1">
      <c r="B5" s="211" t="s">
        <v>76</v>
      </c>
      <c r="C5" s="211" t="s">
        <v>290</v>
      </c>
      <c r="D5" s="211" t="s">
        <v>289</v>
      </c>
      <c r="E5" s="211" t="s">
        <v>80</v>
      </c>
      <c r="F5" s="211" t="s">
        <v>187</v>
      </c>
      <c r="G5" s="211" t="s">
        <v>84</v>
      </c>
    </row>
    <row r="6" spans="2:7" ht="18" customHeight="1">
      <c r="B6" s="212" t="s">
        <v>77</v>
      </c>
      <c r="C6" s="213">
        <f>純數字!AR4</f>
        <v>15669.304640660601</v>
      </c>
      <c r="D6" s="213">
        <v>17109.2901424093</v>
      </c>
      <c r="E6" s="214">
        <f>(C6-D6)/D6</f>
        <v>-8.4163953604326602E-2</v>
      </c>
      <c r="F6" s="213">
        <v>15393.306404999999</v>
      </c>
      <c r="G6" s="214">
        <f>(C6-F6)/F6</f>
        <v>1.7929756505785703E-2</v>
      </c>
    </row>
    <row r="7" spans="2:7" ht="18" customHeight="1">
      <c r="B7" s="212" t="s">
        <v>3</v>
      </c>
      <c r="C7" s="213">
        <f>純數字!AR5</f>
        <v>3787.6145088975177</v>
      </c>
      <c r="D7" s="213">
        <v>3897.3167079579689</v>
      </c>
      <c r="E7" s="214">
        <f>(C7-D7)/D7</f>
        <v>-2.8148135571443099E-2</v>
      </c>
      <c r="F7" s="213">
        <v>3437.97506208</v>
      </c>
      <c r="G7" s="214">
        <f>(C7-F7)/F7</f>
        <v>0.10169923879726551</v>
      </c>
    </row>
    <row r="8" spans="2:7" ht="18" customHeight="1">
      <c r="B8" s="212" t="s">
        <v>177</v>
      </c>
      <c r="C8" s="213">
        <f>純數字!AR6</f>
        <v>1989.4219952585415</v>
      </c>
      <c r="D8" s="213">
        <v>2094.4303055530677</v>
      </c>
      <c r="E8" s="214">
        <f>(C8-D8)/D8</f>
        <v>-5.0136932232174247E-2</v>
      </c>
      <c r="F8" s="213">
        <v>1630.7074920799998</v>
      </c>
      <c r="G8" s="214">
        <f>(C8-F8)/F8</f>
        <v>0.21997476857176526</v>
      </c>
    </row>
    <row r="9" spans="2:7" ht="18" customHeight="1">
      <c r="B9" s="212" t="s">
        <v>88</v>
      </c>
      <c r="C9" s="213">
        <f>純數字!AR7</f>
        <v>1425.7521230004693</v>
      </c>
      <c r="D9" s="213">
        <v>1499.2274300000358</v>
      </c>
      <c r="E9" s="214">
        <f>(C9-D9)/D9</f>
        <v>-4.9008779808387574E-2</v>
      </c>
      <c r="F9" s="213">
        <v>1043.431722999557</v>
      </c>
      <c r="G9" s="214">
        <f>(C9-F9)/F9</f>
        <v>0.36640672463154028</v>
      </c>
    </row>
    <row r="10" spans="2:7" ht="18" customHeight="1">
      <c r="B10" s="212" t="s">
        <v>122</v>
      </c>
      <c r="C10" s="213">
        <f>純數字!AR8</f>
        <v>0.47</v>
      </c>
      <c r="D10" s="213">
        <v>0.49</v>
      </c>
      <c r="E10" s="214">
        <f>(C10-D10)/D10</f>
        <v>-4.0816326530612283E-2</v>
      </c>
      <c r="F10" s="213">
        <v>0.34</v>
      </c>
      <c r="G10" s="214">
        <f>(C10-F10)/F10</f>
        <v>0.3823529411764704</v>
      </c>
    </row>
    <row r="11" spans="2:7" ht="18" hidden="1" customHeight="1">
      <c r="B11" s="208"/>
      <c r="C11" s="208"/>
      <c r="D11" s="209"/>
      <c r="E11" s="208"/>
      <c r="F11" s="208"/>
      <c r="G11" s="208"/>
    </row>
    <row r="12" spans="2:7" ht="17.399999999999999" hidden="1" customHeight="1">
      <c r="B12" s="205"/>
      <c r="C12" s="205"/>
      <c r="D12" s="205"/>
      <c r="E12" s="205"/>
      <c r="F12" s="205"/>
      <c r="G12" s="205"/>
    </row>
    <row r="13" spans="2:7" ht="17.399999999999999" hidden="1" customHeight="1">
      <c r="B13" s="206" t="s">
        <v>283</v>
      </c>
      <c r="C13" s="206"/>
      <c r="D13" s="206"/>
      <c r="E13" s="206"/>
      <c r="F13" s="205"/>
      <c r="G13" s="205"/>
    </row>
    <row r="14" spans="2:7" ht="17.399999999999999" hidden="1" customHeight="1">
      <c r="B14" s="208" t="s">
        <v>76</v>
      </c>
      <c r="C14" s="208" t="s">
        <v>284</v>
      </c>
      <c r="D14" s="208" t="s">
        <v>285</v>
      </c>
      <c r="E14" s="208" t="s">
        <v>84</v>
      </c>
      <c r="F14" s="205"/>
      <c r="G14" s="205"/>
    </row>
    <row r="15" spans="2:7" ht="17.399999999999999" hidden="1" customHeight="1">
      <c r="B15" s="208" t="s">
        <v>77</v>
      </c>
      <c r="C15" s="209">
        <f>SUM(純數字!AO4:AQ4)</f>
        <v>49778.3027813714</v>
      </c>
      <c r="D15" s="209">
        <v>48167.353010999999</v>
      </c>
      <c r="E15" s="210">
        <f t="shared" ref="E15:E19" si="0">(C15-D15)/D15</f>
        <v>3.3444847384565789E-2</v>
      </c>
      <c r="F15" s="205"/>
      <c r="G15" s="205"/>
    </row>
    <row r="16" spans="2:7" ht="17.399999999999999" hidden="1" customHeight="1">
      <c r="B16" s="208" t="s">
        <v>3</v>
      </c>
      <c r="C16" s="209">
        <f>SUM(純數字!AO5:AQ5)</f>
        <v>11353.889998389852</v>
      </c>
      <c r="D16" s="209">
        <v>10554.35552795</v>
      </c>
      <c r="E16" s="210">
        <f t="shared" si="0"/>
        <v>7.5753983113656567E-2</v>
      </c>
      <c r="F16" s="205"/>
      <c r="G16" s="205"/>
    </row>
    <row r="17" spans="2:7" ht="17.399999999999999" hidden="1" customHeight="1">
      <c r="B17" s="208" t="s">
        <v>177</v>
      </c>
      <c r="C17" s="209">
        <f>SUM(純數字!AO6:AQ6)</f>
        <v>5932.7464500811348</v>
      </c>
      <c r="D17" s="209">
        <v>5149.5579679499997</v>
      </c>
      <c r="E17" s="210">
        <f t="shared" si="0"/>
        <v>0.15208848740135972</v>
      </c>
      <c r="F17" s="205"/>
      <c r="G17" s="205"/>
    </row>
    <row r="18" spans="2:7" ht="17.399999999999999" hidden="1" customHeight="1">
      <c r="B18" s="208" t="s">
        <v>88</v>
      </c>
      <c r="C18" s="209">
        <f>SUM(純數字!AO7:AQ7)</f>
        <v>4146.3203469999262</v>
      </c>
      <c r="D18" s="209">
        <v>3655.1984830002207</v>
      </c>
      <c r="E18" s="210">
        <f t="shared" si="0"/>
        <v>0.13436257053723336</v>
      </c>
      <c r="F18" s="205"/>
      <c r="G18" s="205"/>
    </row>
    <row r="19" spans="2:7" ht="17.399999999999999" hidden="1" customHeight="1">
      <c r="B19" s="208" t="s">
        <v>122</v>
      </c>
      <c r="C19" s="209">
        <f>SUM(純數字!AO8:AQ8)</f>
        <v>1.37</v>
      </c>
      <c r="D19" s="209">
        <v>1.21</v>
      </c>
      <c r="E19" s="210">
        <f t="shared" si="0"/>
        <v>0.1322314049586778</v>
      </c>
      <c r="F19" s="205"/>
      <c r="G19" s="205"/>
    </row>
    <row r="20" spans="2:7">
      <c r="B20" s="208"/>
      <c r="C20" s="209"/>
      <c r="D20" s="209"/>
      <c r="E20" s="210"/>
      <c r="F20" s="205"/>
      <c r="G20" s="205"/>
    </row>
    <row r="21" spans="2:7">
      <c r="B21" s="205"/>
      <c r="C21" s="205"/>
      <c r="D21" s="205"/>
      <c r="E21" s="205"/>
      <c r="F21" s="205"/>
      <c r="G21" s="205"/>
    </row>
    <row r="22" spans="2:7">
      <c r="B22" s="206" t="s">
        <v>286</v>
      </c>
      <c r="C22" s="206"/>
      <c r="D22" s="206"/>
      <c r="E22" s="206"/>
      <c r="F22" s="206"/>
      <c r="G22" s="206"/>
    </row>
    <row r="23" spans="2:7">
      <c r="B23" s="211" t="s">
        <v>76</v>
      </c>
      <c r="C23" s="211" t="s">
        <v>292</v>
      </c>
      <c r="D23" s="211" t="s">
        <v>291</v>
      </c>
      <c r="E23" s="211" t="s">
        <v>84</v>
      </c>
      <c r="F23" s="205"/>
      <c r="G23" s="206"/>
    </row>
    <row r="24" spans="2:7">
      <c r="B24" s="212" t="s">
        <v>77</v>
      </c>
      <c r="C24" s="213">
        <f>SUM(純數字!AO4:AR4)</f>
        <v>65447.607422032001</v>
      </c>
      <c r="D24" s="213">
        <v>63560.659415999995</v>
      </c>
      <c r="E24" s="214">
        <f t="shared" ref="E24:E28" si="1">(C24-D24)/D24</f>
        <v>2.9687357295682934E-2</v>
      </c>
      <c r="F24" s="205"/>
      <c r="G24" s="210"/>
    </row>
    <row r="25" spans="2:7">
      <c r="B25" s="212" t="s">
        <v>3</v>
      </c>
      <c r="C25" s="213">
        <f>SUM(純數字!AO5:AR5)</f>
        <v>15141.504507287369</v>
      </c>
      <c r="D25" s="213">
        <v>13992.33059003</v>
      </c>
      <c r="E25" s="214">
        <f t="shared" si="1"/>
        <v>8.2128842644426478E-2</v>
      </c>
      <c r="F25" s="205"/>
      <c r="G25" s="210"/>
    </row>
    <row r="26" spans="2:7">
      <c r="B26" s="212" t="s">
        <v>177</v>
      </c>
      <c r="C26" s="213">
        <f>SUM(純數字!AO6:AR6)</f>
        <v>7922.1684453396765</v>
      </c>
      <c r="D26" s="213">
        <v>6780.2654600299993</v>
      </c>
      <c r="E26" s="214">
        <f t="shared" si="1"/>
        <v>0.16841567517396655</v>
      </c>
      <c r="F26" s="205"/>
      <c r="G26" s="210"/>
    </row>
    <row r="27" spans="2:7">
      <c r="B27" s="212" t="s">
        <v>88</v>
      </c>
      <c r="C27" s="213">
        <f>SUM(純數字!AO7:AR7)</f>
        <v>5572.0724700003957</v>
      </c>
      <c r="D27" s="213">
        <v>4698.6302059997779</v>
      </c>
      <c r="E27" s="214">
        <f t="shared" si="1"/>
        <v>0.18589295724641222</v>
      </c>
      <c r="F27" s="205"/>
      <c r="G27" s="210"/>
    </row>
    <row r="28" spans="2:7">
      <c r="B28" s="212" t="s">
        <v>122</v>
      </c>
      <c r="C28" s="213">
        <f>SUM(純數字!AO8:AR8)</f>
        <v>1.84</v>
      </c>
      <c r="D28" s="213">
        <v>1.55</v>
      </c>
      <c r="E28" s="214">
        <f t="shared" si="1"/>
        <v>0.18709677419354839</v>
      </c>
      <c r="F28" s="205"/>
      <c r="G28" s="210"/>
    </row>
    <row r="29" spans="2:7">
      <c r="G29" s="160"/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0FCF-949A-4303-8C52-3F0702F2A6A0}">
  <dimension ref="B1:G29"/>
  <sheetViews>
    <sheetView zoomScale="130" zoomScaleNormal="130" workbookViewId="0">
      <selection activeCell="N28" sqref="N28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9" width="12.6640625" style="14" customWidth="1"/>
    <col min="10" max="10" width="13.109375" style="14" bestFit="1" customWidth="1"/>
    <col min="11" max="11" width="11" style="14" bestFit="1" customWidth="1"/>
    <col min="12" max="12" width="8" style="14" bestFit="1" customWidth="1"/>
    <col min="13" max="13" width="13.109375" style="14" bestFit="1" customWidth="1"/>
    <col min="14" max="14" width="8" style="14" bestFit="1" customWidth="1"/>
    <col min="15" max="16384" width="8.88671875" style="14"/>
  </cols>
  <sheetData>
    <row r="1" spans="2:7" ht="15.6" customHeight="1"/>
    <row r="2" spans="2:7" ht="18" customHeight="1">
      <c r="B2" s="225" t="s">
        <v>268</v>
      </c>
      <c r="C2" s="225"/>
      <c r="D2" s="225"/>
      <c r="E2" s="225"/>
      <c r="F2" s="225"/>
      <c r="G2" s="225"/>
    </row>
    <row r="3" spans="2:7" ht="18" customHeight="1">
      <c r="B3" s="13"/>
      <c r="C3" s="13"/>
      <c r="D3" s="13"/>
      <c r="E3" s="13"/>
      <c r="F3" s="13"/>
      <c r="G3" s="127" t="s">
        <v>186</v>
      </c>
    </row>
    <row r="4" spans="2:7" ht="18" customHeight="1">
      <c r="B4" s="134" t="s">
        <v>267</v>
      </c>
      <c r="C4" s="13"/>
      <c r="D4" s="13"/>
      <c r="E4" s="13"/>
      <c r="F4" s="13"/>
      <c r="G4" s="127"/>
    </row>
    <row r="5" spans="2:7" ht="18" customHeight="1">
      <c r="B5" s="133" t="s">
        <v>92</v>
      </c>
      <c r="C5" s="133" t="s">
        <v>281</v>
      </c>
      <c r="D5" s="133" t="s">
        <v>269</v>
      </c>
      <c r="E5" s="133" t="s">
        <v>80</v>
      </c>
      <c r="F5" s="133" t="s">
        <v>169</v>
      </c>
      <c r="G5" s="133" t="s">
        <v>84</v>
      </c>
    </row>
    <row r="6" spans="2:7" ht="18" customHeight="1">
      <c r="B6" s="132" t="s">
        <v>96</v>
      </c>
      <c r="C6" s="130">
        <f>純數字!AQ4</f>
        <v>17109.2901424093</v>
      </c>
      <c r="D6" s="130">
        <v>15523.5543110693</v>
      </c>
      <c r="E6" s="142">
        <f>(C6-D6)/D6</f>
        <v>0.10215030653187895</v>
      </c>
      <c r="F6" s="130">
        <v>16177.374327</v>
      </c>
      <c r="G6" s="131">
        <f>(C6-F6)/F6</f>
        <v>5.760612300686737E-2</v>
      </c>
    </row>
    <row r="7" spans="2:7" ht="18" customHeight="1">
      <c r="B7" s="132" t="s">
        <v>3</v>
      </c>
      <c r="C7" s="130">
        <f>純數字!AQ5</f>
        <v>3897.3167079579689</v>
      </c>
      <c r="D7" s="130">
        <v>3584.6630197037744</v>
      </c>
      <c r="E7" s="142">
        <f>(C7-D7)/D7</f>
        <v>8.7219826950437118E-2</v>
      </c>
      <c r="F7" s="130">
        <v>3494.1166316700001</v>
      </c>
      <c r="G7" s="131">
        <f>(C7-F7)/F7</f>
        <v>0.11539399476063307</v>
      </c>
    </row>
    <row r="8" spans="2:7" ht="18" customHeight="1">
      <c r="B8" s="132" t="s">
        <v>97</v>
      </c>
      <c r="C8" s="130">
        <f>純數字!AQ6</f>
        <v>2094.4303055530677</v>
      </c>
      <c r="D8" s="130">
        <v>1776.3402778229774</v>
      </c>
      <c r="E8" s="142">
        <f>(C8-D8)/D8</f>
        <v>0.17907043582884391</v>
      </c>
      <c r="F8" s="130">
        <v>1699.30144967</v>
      </c>
      <c r="G8" s="131">
        <f>(C8-F8)/F8</f>
        <v>0.23252428576448322</v>
      </c>
    </row>
    <row r="9" spans="2:7" ht="18" customHeight="1">
      <c r="B9" s="132" t="s">
        <v>105</v>
      </c>
      <c r="C9" s="130">
        <f>純數字!AQ7</f>
        <v>1499.2274300000358</v>
      </c>
      <c r="D9" s="130">
        <v>1240.8602099996615</v>
      </c>
      <c r="E9" s="142">
        <f>(C9-D9)/D9</f>
        <v>0.20821621800609177</v>
      </c>
      <c r="F9" s="130">
        <v>1238.066867000663</v>
      </c>
      <c r="G9" s="131">
        <f>(C9-F9)/F9</f>
        <v>0.21094221157219042</v>
      </c>
    </row>
    <row r="10" spans="2:7" ht="18" customHeight="1">
      <c r="B10" s="132" t="s">
        <v>122</v>
      </c>
      <c r="C10" s="130">
        <f>純數字!AQ8</f>
        <v>0.49</v>
      </c>
      <c r="D10" s="130">
        <v>0.42</v>
      </c>
      <c r="E10" s="142">
        <f>(C10-D10)/D10</f>
        <v>0.16666666666666669</v>
      </c>
      <c r="F10" s="130">
        <v>0.41</v>
      </c>
      <c r="G10" s="131">
        <f>(C10-F10)/F10</f>
        <v>0.19512195121951226</v>
      </c>
    </row>
    <row r="11" spans="2:7" ht="18" hidden="1" customHeight="1">
      <c r="B11" s="132"/>
      <c r="C11" s="132"/>
      <c r="D11" s="130"/>
      <c r="E11" s="132"/>
      <c r="F11" s="132"/>
      <c r="G11" s="132"/>
    </row>
    <row r="12" spans="2:7" hidden="1"/>
    <row r="13" spans="2:7" hidden="1">
      <c r="B13" s="134" t="s">
        <v>265</v>
      </c>
      <c r="C13" s="13"/>
      <c r="D13" s="134"/>
      <c r="E13" s="13"/>
    </row>
    <row r="14" spans="2:7" hidden="1">
      <c r="B14" s="133" t="s">
        <v>76</v>
      </c>
      <c r="C14" s="133" t="s">
        <v>266</v>
      </c>
      <c r="D14" s="133" t="s">
        <v>164</v>
      </c>
      <c r="E14" s="133" t="s">
        <v>84</v>
      </c>
    </row>
    <row r="15" spans="2:7" hidden="1">
      <c r="B15" s="132" t="s">
        <v>77</v>
      </c>
      <c r="C15" s="130">
        <f>SUM(純數字!AO4:AQ4)</f>
        <v>49778.3027813714</v>
      </c>
      <c r="D15" s="130">
        <v>48167.353010999999</v>
      </c>
      <c r="E15" s="142">
        <f t="shared" ref="E15:E19" si="0">(C15-D15)/D15</f>
        <v>3.3444847384565789E-2</v>
      </c>
    </row>
    <row r="16" spans="2:7" hidden="1">
      <c r="B16" s="132" t="s">
        <v>3</v>
      </c>
      <c r="C16" s="130">
        <f>SUM(純數字!AO5:AQ5)</f>
        <v>11353.889998389852</v>
      </c>
      <c r="D16" s="130">
        <v>10554.35552795</v>
      </c>
      <c r="E16" s="142">
        <f t="shared" si="0"/>
        <v>7.5753983113656567E-2</v>
      </c>
    </row>
    <row r="17" spans="2:7" hidden="1">
      <c r="B17" s="132" t="s">
        <v>177</v>
      </c>
      <c r="C17" s="130">
        <f>SUM(純數字!AO6:AQ6)</f>
        <v>5932.7464500811348</v>
      </c>
      <c r="D17" s="130">
        <v>5149.5579679499997</v>
      </c>
      <c r="E17" s="142">
        <f t="shared" si="0"/>
        <v>0.15208848740135972</v>
      </c>
    </row>
    <row r="18" spans="2:7" hidden="1">
      <c r="B18" s="132" t="s">
        <v>88</v>
      </c>
      <c r="C18" s="130">
        <f>SUM(純數字!AO7:AQ7)</f>
        <v>4146.3203469999262</v>
      </c>
      <c r="D18" s="130">
        <v>3655.1984830002207</v>
      </c>
      <c r="E18" s="142">
        <f t="shared" si="0"/>
        <v>0.13436257053723336</v>
      </c>
    </row>
    <row r="19" spans="2:7" hidden="1">
      <c r="B19" s="132" t="s">
        <v>122</v>
      </c>
      <c r="C19" s="130">
        <f>SUM(純數字!AO8:AQ8)</f>
        <v>1.37</v>
      </c>
      <c r="D19" s="130">
        <v>1.21</v>
      </c>
      <c r="E19" s="142">
        <f t="shared" si="0"/>
        <v>0.1322314049586778</v>
      </c>
    </row>
    <row r="20" spans="2:7">
      <c r="B20" s="132"/>
      <c r="C20" s="130"/>
      <c r="D20" s="130"/>
      <c r="E20" s="142"/>
    </row>
    <row r="22" spans="2:7">
      <c r="B22" s="134" t="s">
        <v>270</v>
      </c>
      <c r="C22" s="13"/>
      <c r="D22" s="134"/>
      <c r="E22" s="13"/>
      <c r="F22" s="134"/>
      <c r="G22" s="13"/>
    </row>
    <row r="23" spans="2:7">
      <c r="B23" s="133" t="s">
        <v>76</v>
      </c>
      <c r="C23" s="133" t="s">
        <v>263</v>
      </c>
      <c r="D23" s="133" t="s">
        <v>264</v>
      </c>
      <c r="E23" s="133" t="s">
        <v>87</v>
      </c>
      <c r="F23" s="133" t="s">
        <v>262</v>
      </c>
      <c r="G23" s="133" t="s">
        <v>84</v>
      </c>
    </row>
    <row r="24" spans="2:7">
      <c r="B24" s="132" t="s">
        <v>77</v>
      </c>
      <c r="C24" s="130">
        <f>SUM(純數字!AO4:AQ4)</f>
        <v>49778.3027813714</v>
      </c>
      <c r="D24" s="130">
        <v>56786.408937107502</v>
      </c>
      <c r="E24" s="142">
        <f>(C24-D24)/D24</f>
        <v>-0.12341168048674765</v>
      </c>
      <c r="F24" s="130">
        <v>48167.353010999999</v>
      </c>
      <c r="G24" s="131">
        <f>(C24-F24)/F24</f>
        <v>3.3444847384565789E-2</v>
      </c>
    </row>
    <row r="25" spans="2:7">
      <c r="B25" s="132" t="s">
        <v>3</v>
      </c>
      <c r="C25" s="130">
        <f>SUM(純數字!AO5:AQ5)</f>
        <v>11353.889998389852</v>
      </c>
      <c r="D25" s="130">
        <v>11397.187810334708</v>
      </c>
      <c r="E25" s="142">
        <f>(C25-D25)/D25</f>
        <v>-3.7989908269823159E-3</v>
      </c>
      <c r="F25" s="130">
        <v>10554.35552795</v>
      </c>
      <c r="G25" s="131">
        <f>(C25-F25)/F25</f>
        <v>7.5753983113656567E-2</v>
      </c>
    </row>
    <row r="26" spans="2:7">
      <c r="B26" s="132" t="s">
        <v>177</v>
      </c>
      <c r="C26" s="130">
        <f>SUM(純數字!AO6:AQ6)</f>
        <v>5932.7464500811348</v>
      </c>
      <c r="D26" s="130">
        <v>6008.0276877229226</v>
      </c>
      <c r="E26" s="142">
        <f>(C26-D26)/D26</f>
        <v>-1.2530108307526764E-2</v>
      </c>
      <c r="F26" s="130">
        <v>5149.5579679499997</v>
      </c>
      <c r="G26" s="131">
        <f>(C26-F26)/F26</f>
        <v>0.15208848740135972</v>
      </c>
    </row>
    <row r="27" spans="2:7">
      <c r="B27" s="132" t="s">
        <v>88</v>
      </c>
      <c r="C27" s="130">
        <f>SUM(純數字!AO7:AQ7)</f>
        <v>4146.3203469999262</v>
      </c>
      <c r="D27" s="130">
        <v>3882.3044830013268</v>
      </c>
      <c r="E27" s="142">
        <f>(C27-D27)/D27</f>
        <v>6.8004934995334082E-2</v>
      </c>
      <c r="F27" s="130">
        <v>3655.1984830002207</v>
      </c>
      <c r="G27" s="131">
        <f>(C27-F27)/F27</f>
        <v>0.13436257053723336</v>
      </c>
    </row>
    <row r="28" spans="2:7">
      <c r="B28" s="132" t="s">
        <v>122</v>
      </c>
      <c r="C28" s="130">
        <f>SUM(純數字!AO8:AQ8)</f>
        <v>1.37</v>
      </c>
      <c r="D28" s="130">
        <v>1.28</v>
      </c>
      <c r="E28" s="142">
        <f>(C28-D28)/D28</f>
        <v>7.0312500000000056E-2</v>
      </c>
      <c r="F28" s="130">
        <v>1.21</v>
      </c>
      <c r="G28" s="131">
        <f>(C28-F28)/F28</f>
        <v>0.1322314049586778</v>
      </c>
    </row>
    <row r="29" spans="2:7">
      <c r="G29" s="142"/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04C8-1B92-4F2F-81DD-70CABAE3DE54}">
  <dimension ref="B1:G19"/>
  <sheetViews>
    <sheetView zoomScale="130" zoomScaleNormal="130" workbookViewId="0">
      <selection activeCell="K17" sqref="K17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9" width="12.6640625" style="14" customWidth="1"/>
    <col min="10" max="10" width="13.109375" style="14" bestFit="1" customWidth="1"/>
    <col min="11" max="11" width="11" style="14" bestFit="1" customWidth="1"/>
    <col min="12" max="12" width="8" style="14" bestFit="1" customWidth="1"/>
    <col min="13" max="13" width="13.109375" style="14" bestFit="1" customWidth="1"/>
    <col min="14" max="14" width="8" style="14" bestFit="1" customWidth="1"/>
    <col min="15" max="16384" width="8.88671875" style="14"/>
  </cols>
  <sheetData>
    <row r="1" spans="2:7" ht="15.6" customHeight="1"/>
    <row r="2" spans="2:7" ht="18" customHeight="1">
      <c r="B2" s="225" t="s">
        <v>257</v>
      </c>
      <c r="C2" s="225"/>
      <c r="D2" s="225"/>
      <c r="E2" s="225"/>
      <c r="F2" s="225"/>
      <c r="G2" s="225"/>
    </row>
    <row r="3" spans="2:7" ht="18" customHeight="1">
      <c r="B3" s="13"/>
      <c r="C3" s="13"/>
      <c r="D3" s="13"/>
      <c r="E3" s="13"/>
      <c r="F3" s="13"/>
      <c r="G3" s="127" t="s">
        <v>186</v>
      </c>
    </row>
    <row r="4" spans="2:7" ht="18" customHeight="1">
      <c r="B4" s="134" t="s">
        <v>261</v>
      </c>
      <c r="C4" s="13"/>
      <c r="D4" s="13"/>
      <c r="E4" s="13"/>
      <c r="F4" s="13"/>
      <c r="G4" s="127"/>
    </row>
    <row r="5" spans="2:7" ht="18" customHeight="1">
      <c r="B5" s="133" t="s">
        <v>92</v>
      </c>
      <c r="C5" s="133" t="s">
        <v>256</v>
      </c>
      <c r="D5" s="133" t="s">
        <v>255</v>
      </c>
      <c r="E5" s="133" t="s">
        <v>80</v>
      </c>
      <c r="F5" s="133" t="s">
        <v>162</v>
      </c>
      <c r="G5" s="133" t="s">
        <v>84</v>
      </c>
    </row>
    <row r="6" spans="2:7" ht="18" customHeight="1">
      <c r="B6" s="132" t="s">
        <v>96</v>
      </c>
      <c r="C6" s="130">
        <f>純數字!AP4</f>
        <v>15523.5543110693</v>
      </c>
      <c r="D6" s="130">
        <v>17145.4583278928</v>
      </c>
      <c r="E6" s="142">
        <f>(C6-D6)/D6</f>
        <v>-9.4596713940561933E-2</v>
      </c>
      <c r="F6" s="130">
        <v>15528.062521</v>
      </c>
      <c r="G6" s="131">
        <f>(C6-F6)/F6</f>
        <v>-2.9032662153460843E-4</v>
      </c>
    </row>
    <row r="7" spans="2:7" ht="18" customHeight="1">
      <c r="B7" s="132" t="s">
        <v>3</v>
      </c>
      <c r="C7" s="130">
        <f>純數字!AP5</f>
        <v>3584.6630197037744</v>
      </c>
      <c r="D7" s="130">
        <v>3871.9102707281095</v>
      </c>
      <c r="E7" s="142">
        <f>(C7-D7)/D7</f>
        <v>-7.4187476191259594E-2</v>
      </c>
      <c r="F7" s="130">
        <v>3469.5615505199999</v>
      </c>
      <c r="G7" s="131">
        <f>(C7-F7)/F7</f>
        <v>3.3174643973825364E-2</v>
      </c>
    </row>
    <row r="8" spans="2:7" ht="18" customHeight="1">
      <c r="B8" s="132" t="s">
        <v>97</v>
      </c>
      <c r="C8" s="130">
        <f>純數字!AP6</f>
        <v>1776.3402778229774</v>
      </c>
      <c r="D8" s="130">
        <v>2061.9758667050896</v>
      </c>
      <c r="E8" s="142">
        <f>(C8-D8)/D8</f>
        <v>-0.13852518523339474</v>
      </c>
      <c r="F8" s="130">
        <v>1668.8928625199999</v>
      </c>
      <c r="G8" s="131">
        <f>(C8-F8)/F8</f>
        <v>6.4382452412633476E-2</v>
      </c>
    </row>
    <row r="9" spans="2:7" ht="18" customHeight="1">
      <c r="B9" s="132" t="s">
        <v>105</v>
      </c>
      <c r="C9" s="130">
        <f>純數字!AP7</f>
        <v>1240.8602099996615</v>
      </c>
      <c r="D9" s="130">
        <v>1406.2327070002282</v>
      </c>
      <c r="E9" s="142">
        <f>(C9-D9)/D9</f>
        <v>-0.11759966624111513</v>
      </c>
      <c r="F9" s="130">
        <v>1254.865457999329</v>
      </c>
      <c r="G9" s="131">
        <f>(C9-F9)/F9</f>
        <v>-1.1160756645574196E-2</v>
      </c>
    </row>
    <row r="10" spans="2:7" ht="18" customHeight="1">
      <c r="B10" s="132" t="s">
        <v>122</v>
      </c>
      <c r="C10" s="130">
        <f>純數字!AP8</f>
        <v>0.42</v>
      </c>
      <c r="D10" s="130">
        <v>0.46</v>
      </c>
      <c r="E10" s="142">
        <f>(C10-D10)/D10</f>
        <v>-8.6956521739130502E-2</v>
      </c>
      <c r="F10" s="130">
        <v>0.42</v>
      </c>
      <c r="G10" s="131">
        <f>(C10-F10)/F10</f>
        <v>0</v>
      </c>
    </row>
    <row r="11" spans="2:7" ht="18" customHeight="1">
      <c r="B11" s="132"/>
      <c r="C11" s="132"/>
      <c r="D11" s="130"/>
      <c r="E11" s="132"/>
      <c r="F11" s="132"/>
      <c r="G11" s="132"/>
    </row>
    <row r="13" spans="2:7">
      <c r="B13" s="134" t="s">
        <v>259</v>
      </c>
      <c r="C13" s="13"/>
      <c r="D13" s="134"/>
      <c r="E13" s="13"/>
    </row>
    <row r="14" spans="2:7">
      <c r="B14" s="133" t="s">
        <v>76</v>
      </c>
      <c r="C14" s="133" t="s">
        <v>260</v>
      </c>
      <c r="D14" s="133" t="s">
        <v>258</v>
      </c>
      <c r="E14" s="133" t="s">
        <v>84</v>
      </c>
    </row>
    <row r="15" spans="2:7">
      <c r="B15" s="132" t="s">
        <v>77</v>
      </c>
      <c r="C15" s="130">
        <f>SUM(純數字!AO4:AP4)</f>
        <v>32669.0126389621</v>
      </c>
      <c r="D15" s="130">
        <v>31989.978684000002</v>
      </c>
      <c r="E15" s="142">
        <f t="shared" ref="E15:E19" si="0">(C15-D15)/D15</f>
        <v>2.1226458500321597E-2</v>
      </c>
    </row>
    <row r="16" spans="2:7">
      <c r="B16" s="132" t="s">
        <v>3</v>
      </c>
      <c r="C16" s="130">
        <f>SUM(純數字!AO5:AP5)</f>
        <v>7456.5732904318838</v>
      </c>
      <c r="D16" s="130">
        <v>7060.2388962799996</v>
      </c>
      <c r="E16" s="142">
        <f t="shared" si="0"/>
        <v>5.6136116634907439E-2</v>
      </c>
    </row>
    <row r="17" spans="2:5">
      <c r="B17" s="132" t="s">
        <v>177</v>
      </c>
      <c r="C17" s="130">
        <f>SUM(純數字!AO6:AP6)</f>
        <v>3838.3161445280671</v>
      </c>
      <c r="D17" s="130">
        <v>3450.2565182799999</v>
      </c>
      <c r="E17" s="142">
        <f t="shared" si="0"/>
        <v>0.11247268839057804</v>
      </c>
    </row>
    <row r="18" spans="2:5">
      <c r="B18" s="132" t="s">
        <v>88</v>
      </c>
      <c r="C18" s="130">
        <f>SUM(純數字!AO7:AP7)</f>
        <v>2647.0929169998899</v>
      </c>
      <c r="D18" s="130">
        <v>2417.1316159995577</v>
      </c>
      <c r="E18" s="142">
        <f t="shared" si="0"/>
        <v>9.513809652654609E-2</v>
      </c>
    </row>
    <row r="19" spans="2:5">
      <c r="B19" s="132" t="s">
        <v>122</v>
      </c>
      <c r="C19" s="130">
        <f>SUM(純數字!AO8:AP8)</f>
        <v>0.88</v>
      </c>
      <c r="D19" s="130">
        <v>0.8</v>
      </c>
      <c r="E19" s="142">
        <f t="shared" si="0"/>
        <v>9.999999999999995E-2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AD14-2AA7-4305-BFEF-1F583DE89440}">
  <dimension ref="B1:G11"/>
  <sheetViews>
    <sheetView zoomScale="89" zoomScaleNormal="115" workbookViewId="0">
      <selection activeCell="M13" sqref="M13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9" width="12.6640625" style="14" customWidth="1"/>
    <col min="10" max="10" width="13.109375" style="14" bestFit="1" customWidth="1"/>
    <col min="11" max="11" width="11" style="14" bestFit="1" customWidth="1"/>
    <col min="12" max="12" width="8" style="14" bestFit="1" customWidth="1"/>
    <col min="13" max="13" width="13.109375" style="14" bestFit="1" customWidth="1"/>
    <col min="14" max="14" width="8" style="14" bestFit="1" customWidth="1"/>
    <col min="15" max="16384" width="8.88671875" style="14"/>
  </cols>
  <sheetData>
    <row r="1" spans="2:7" ht="15.6" customHeight="1"/>
    <row r="2" spans="2:7" ht="18" customHeight="1">
      <c r="B2" s="225" t="s">
        <v>251</v>
      </c>
      <c r="C2" s="225"/>
      <c r="D2" s="225"/>
      <c r="E2" s="225"/>
      <c r="F2" s="225"/>
      <c r="G2" s="225"/>
    </row>
    <row r="3" spans="2:7" ht="18" customHeight="1">
      <c r="B3" s="13"/>
      <c r="C3" s="13"/>
      <c r="D3" s="13"/>
      <c r="E3" s="13"/>
      <c r="F3" s="13"/>
      <c r="G3" s="127" t="s">
        <v>186</v>
      </c>
    </row>
    <row r="4" spans="2:7" ht="18" customHeight="1">
      <c r="B4" s="134" t="s">
        <v>252</v>
      </c>
      <c r="C4" s="13"/>
      <c r="D4" s="13"/>
      <c r="E4" s="13"/>
      <c r="F4" s="13"/>
      <c r="G4" s="127"/>
    </row>
    <row r="5" spans="2:7" ht="18" customHeight="1">
      <c r="B5" s="133" t="s">
        <v>92</v>
      </c>
      <c r="C5" s="133" t="s">
        <v>253</v>
      </c>
      <c r="D5" s="133" t="s">
        <v>254</v>
      </c>
      <c r="E5" s="133" t="s">
        <v>80</v>
      </c>
      <c r="F5" s="133" t="s">
        <v>147</v>
      </c>
      <c r="G5" s="133" t="s">
        <v>84</v>
      </c>
    </row>
    <row r="6" spans="2:7" ht="18" customHeight="1">
      <c r="B6" s="132" t="s">
        <v>96</v>
      </c>
      <c r="C6" s="130">
        <f>純數字!AO4</f>
        <v>17145.4583278928</v>
      </c>
      <c r="D6" s="130">
        <v>18049.316333740899</v>
      </c>
      <c r="E6" s="142">
        <f>(C6-D6)/D6</f>
        <v>-5.0077132514900355E-2</v>
      </c>
      <c r="F6" s="130">
        <f>純數字!AB4</f>
        <v>16461.916163000002</v>
      </c>
      <c r="G6" s="131">
        <f>(C6-F6)/F6</f>
        <v>4.1522636740742011E-2</v>
      </c>
    </row>
    <row r="7" spans="2:7" ht="18" customHeight="1">
      <c r="B7" s="132" t="s">
        <v>3</v>
      </c>
      <c r="C7" s="130">
        <f>純數字!AO5</f>
        <v>3871.9102707281095</v>
      </c>
      <c r="D7" s="130">
        <v>3959.8724042587664</v>
      </c>
      <c r="E7" s="142">
        <f>(C7-D7)/D7</f>
        <v>-2.2213375722928693E-2</v>
      </c>
      <c r="F7" s="130">
        <f>純數字!AB5</f>
        <v>3590.6773457600002</v>
      </c>
      <c r="G7" s="131">
        <f>(C7-F7)/F7</f>
        <v>7.832308444538999E-2</v>
      </c>
    </row>
    <row r="8" spans="2:7" ht="18" customHeight="1">
      <c r="B8" s="132" t="s">
        <v>97</v>
      </c>
      <c r="C8" s="130">
        <f>純數字!AO6</f>
        <v>2061.9758667050896</v>
      </c>
      <c r="D8" s="130">
        <v>2169.0488130166996</v>
      </c>
      <c r="E8" s="142">
        <f>(C8-D8)/D8</f>
        <v>-4.9364009546052377E-2</v>
      </c>
      <c r="F8" s="130">
        <f>純數字!AB6</f>
        <v>1781.36365576</v>
      </c>
      <c r="G8" s="131">
        <f>(C8-F8)/F8</f>
        <v>0.15752662856780322</v>
      </c>
    </row>
    <row r="9" spans="2:7" ht="18" customHeight="1">
      <c r="B9" s="132" t="s">
        <v>105</v>
      </c>
      <c r="C9" s="130">
        <f>純數字!AO7</f>
        <v>1406.2327070002282</v>
      </c>
      <c r="D9" s="130">
        <v>1322.2062500008969</v>
      </c>
      <c r="E9" s="142">
        <f>(C9-D9)/D9</f>
        <v>6.3550188935556931E-2</v>
      </c>
      <c r="F9" s="130">
        <f>純數字!AB7</f>
        <v>1162.2661580002289</v>
      </c>
      <c r="G9" s="131">
        <f>(C9-F9)/F9</f>
        <v>0.20990592156598889</v>
      </c>
    </row>
    <row r="10" spans="2:7" ht="18" customHeight="1">
      <c r="B10" s="132" t="s">
        <v>122</v>
      </c>
      <c r="C10" s="130">
        <f>純數字!AO8</f>
        <v>0.46</v>
      </c>
      <c r="D10" s="130">
        <v>0.43</v>
      </c>
      <c r="E10" s="142">
        <f>(C10-D10)/D10</f>
        <v>6.9767441860465185E-2</v>
      </c>
      <c r="F10" s="130">
        <f>純數字!AB8</f>
        <v>0.38</v>
      </c>
      <c r="G10" s="131">
        <f>(C10-F10)/F10</f>
        <v>0.21052631578947373</v>
      </c>
    </row>
    <row r="11" spans="2:7" ht="18" customHeight="1">
      <c r="B11" s="132"/>
      <c r="C11" s="132"/>
      <c r="D11" s="130"/>
      <c r="E11" s="132"/>
      <c r="F11" s="132"/>
      <c r="G11" s="132"/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18BE-2EE1-4FC6-ABC9-8D59CDE2D453}">
  <dimension ref="B1:G34"/>
  <sheetViews>
    <sheetView topLeftCell="A5" zoomScale="89" zoomScaleNormal="115" workbookViewId="0">
      <selection activeCell="C21" sqref="C21:C26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9" width="12.6640625" style="14" customWidth="1"/>
    <col min="10" max="10" width="13.109375" style="14" bestFit="1" customWidth="1"/>
    <col min="11" max="11" width="11" style="14" bestFit="1" customWidth="1"/>
    <col min="12" max="12" width="8" style="14" bestFit="1" customWidth="1"/>
    <col min="13" max="13" width="13.109375" style="14" bestFit="1" customWidth="1"/>
    <col min="14" max="14" width="8" style="14" bestFit="1" customWidth="1"/>
    <col min="15" max="16384" width="8.88671875" style="14"/>
  </cols>
  <sheetData>
    <row r="1" spans="2:7" ht="15.6" customHeight="1"/>
    <row r="2" spans="2:7" ht="18" customHeight="1">
      <c r="B2" s="225" t="s">
        <v>237</v>
      </c>
      <c r="C2" s="225"/>
      <c r="D2" s="225"/>
      <c r="E2" s="225"/>
      <c r="F2" s="225"/>
      <c r="G2" s="225"/>
    </row>
    <row r="3" spans="2:7" ht="18" customHeight="1">
      <c r="B3" s="13"/>
      <c r="C3" s="13"/>
      <c r="D3" s="13"/>
      <c r="E3" s="13"/>
      <c r="F3" s="13"/>
      <c r="G3" s="127" t="s">
        <v>186</v>
      </c>
    </row>
    <row r="4" spans="2:7" ht="18" customHeight="1">
      <c r="B4" s="134" t="s">
        <v>242</v>
      </c>
      <c r="C4" s="13"/>
      <c r="D4" s="13"/>
      <c r="E4" s="13"/>
      <c r="F4" s="13"/>
      <c r="G4" s="127"/>
    </row>
    <row r="5" spans="2:7" ht="18" customHeight="1">
      <c r="B5" s="133" t="s">
        <v>92</v>
      </c>
      <c r="C5" s="133" t="s">
        <v>239</v>
      </c>
      <c r="D5" s="133" t="s">
        <v>235</v>
      </c>
      <c r="E5" s="133" t="s">
        <v>80</v>
      </c>
      <c r="F5" s="133" t="s">
        <v>136</v>
      </c>
      <c r="G5" s="133" t="s">
        <v>84</v>
      </c>
    </row>
    <row r="6" spans="2:7" ht="18" customHeight="1">
      <c r="B6" s="132" t="s">
        <v>96</v>
      </c>
      <c r="C6" s="130">
        <f>純數字!AM4</f>
        <v>18049.316333740899</v>
      </c>
      <c r="D6" s="130">
        <v>23112.129747400701</v>
      </c>
      <c r="E6" s="142">
        <f>(C6-D6)/D6</f>
        <v>-0.2190543869817618</v>
      </c>
      <c r="F6" s="130">
        <f>純數字!Z4</f>
        <v>17156.530975000001</v>
      </c>
      <c r="G6" s="131">
        <f>(C6-F6)/F6</f>
        <v>5.2037638613647366E-2</v>
      </c>
    </row>
    <row r="7" spans="2:7" ht="18" customHeight="1">
      <c r="B7" s="132" t="s">
        <v>3</v>
      </c>
      <c r="C7" s="130">
        <f>純數字!AM5</f>
        <v>3959.8724042587664</v>
      </c>
      <c r="D7" s="130">
        <v>4029.7603394144553</v>
      </c>
      <c r="E7" s="142">
        <f>(C7-D7)/D7</f>
        <v>-1.7342950763628771E-2</v>
      </c>
      <c r="F7" s="130">
        <f>純數字!Z5</f>
        <v>3496.6581567499206</v>
      </c>
      <c r="G7" s="131">
        <f>(C7-F7)/F7</f>
        <v>0.13247341511341643</v>
      </c>
    </row>
    <row r="8" spans="2:7" ht="18" customHeight="1">
      <c r="B8" s="132" t="s">
        <v>97</v>
      </c>
      <c r="C8" s="130">
        <f>純數字!AM6</f>
        <v>2169.0488130166996</v>
      </c>
      <c r="D8" s="130">
        <v>2231.4726118074723</v>
      </c>
      <c r="E8" s="142">
        <f>(C8-D8)/D8</f>
        <v>-2.7974261687312398E-2</v>
      </c>
      <c r="F8" s="130">
        <f>純數字!Z6</f>
        <v>1731.3534577499208</v>
      </c>
      <c r="G8" s="131">
        <f>(C8-F8)/F8</f>
        <v>0.25280531442471066</v>
      </c>
    </row>
    <row r="9" spans="2:7" ht="18" customHeight="1">
      <c r="B9" s="132" t="s">
        <v>105</v>
      </c>
      <c r="C9" s="130">
        <f>純數字!AM7</f>
        <v>1322.2062500008969</v>
      </c>
      <c r="D9" s="130">
        <v>1422.7779910009551</v>
      </c>
      <c r="E9" s="142">
        <f>(C9-D9)/D9</f>
        <v>-7.0686882729542211E-2</v>
      </c>
      <c r="F9" s="130">
        <f>純數字!Z7</f>
        <v>949.26533899995206</v>
      </c>
      <c r="G9" s="131">
        <f>(C9-F9)/F9</f>
        <v>0.39287319959858319</v>
      </c>
    </row>
    <row r="10" spans="2:7" ht="18" customHeight="1">
      <c r="B10" s="132" t="s">
        <v>122</v>
      </c>
      <c r="C10" s="130">
        <f>純數字!AM8</f>
        <v>0.43</v>
      </c>
      <c r="D10" s="130">
        <v>0.47</v>
      </c>
      <c r="E10" s="142">
        <f>(C10-D10)/D10</f>
        <v>-8.5106382978723361E-2</v>
      </c>
      <c r="F10" s="130">
        <f>純數字!Z8</f>
        <v>0.32</v>
      </c>
      <c r="G10" s="131">
        <f>(C10-F10)/F10</f>
        <v>0.34374999999999994</v>
      </c>
    </row>
    <row r="11" spans="2:7" ht="18" customHeight="1">
      <c r="B11" s="132"/>
      <c r="C11" s="132"/>
      <c r="D11" s="130"/>
      <c r="E11" s="132"/>
      <c r="F11" s="132"/>
      <c r="G11" s="132"/>
    </row>
    <row r="12" spans="2:7" ht="18" customHeight="1">
      <c r="B12" s="134" t="s">
        <v>241</v>
      </c>
      <c r="C12" s="132"/>
      <c r="D12" s="132"/>
      <c r="E12" s="132"/>
      <c r="F12" s="132"/>
      <c r="G12" s="132"/>
    </row>
    <row r="13" spans="2:7" ht="18" customHeight="1">
      <c r="B13" s="133" t="s">
        <v>92</v>
      </c>
      <c r="C13" s="133" t="s">
        <v>238</v>
      </c>
      <c r="D13" s="133" t="s">
        <v>138</v>
      </c>
      <c r="E13" s="133" t="s">
        <v>84</v>
      </c>
      <c r="F13" s="132"/>
      <c r="G13" s="132"/>
    </row>
    <row r="14" spans="2:7" ht="18" customHeight="1">
      <c r="B14" s="132" t="s">
        <v>96</v>
      </c>
      <c r="C14" s="130">
        <f>SUM(純數字!AB4:AM4)</f>
        <v>198764.58299210749</v>
      </c>
      <c r="D14" s="130">
        <f>SUM(純數字!O4:Z4)</f>
        <v>199373.905172</v>
      </c>
      <c r="E14" s="131">
        <f>(C14-D14)/D14</f>
        <v>-3.0561781862418012E-3</v>
      </c>
      <c r="F14" s="132"/>
      <c r="G14" s="132"/>
    </row>
    <row r="15" spans="2:7" ht="18" customHeight="1">
      <c r="B15" s="132" t="s">
        <v>3</v>
      </c>
      <c r="C15" s="130">
        <f>SUM(純數字!AB5:AM5)</f>
        <v>43170.700686744705</v>
      </c>
      <c r="D15" s="130">
        <f>SUM(純數字!O5:Z5)</f>
        <v>42520.089402189828</v>
      </c>
      <c r="E15" s="131">
        <f>(C15-D15)/D15</f>
        <v>1.5301268028880734E-2</v>
      </c>
      <c r="F15" s="132"/>
      <c r="G15" s="132"/>
    </row>
    <row r="16" spans="2:7" ht="18" customHeight="1">
      <c r="B16" s="132" t="s">
        <v>97</v>
      </c>
      <c r="C16" s="130">
        <f>SUM(純數字!AB6:AM6)</f>
        <v>21450.083750132922</v>
      </c>
      <c r="D16" s="130">
        <f>SUM(純數字!O6:Z6)</f>
        <v>20250.475870189828</v>
      </c>
      <c r="E16" s="131">
        <f>(C16-D16)/D16</f>
        <v>5.9238503215077738E-2</v>
      </c>
      <c r="F16" s="132"/>
      <c r="G16" s="132"/>
    </row>
    <row r="17" spans="2:7" ht="18" customHeight="1">
      <c r="B17" s="132" t="s">
        <v>105</v>
      </c>
      <c r="C17" s="130">
        <f>SUM(純數字!AB7:AM7)</f>
        <v>14437.394063001411</v>
      </c>
      <c r="D17" s="130">
        <f>SUM(純數字!O7:Z7)</f>
        <v>13816.716211999945</v>
      </c>
      <c r="E17" s="131">
        <f>(C17-D17)/D17</f>
        <v>4.4922240674119228E-2</v>
      </c>
      <c r="F17" s="132"/>
      <c r="G17" s="132"/>
    </row>
    <row r="18" spans="2:7" ht="18" customHeight="1">
      <c r="B18" s="132" t="s">
        <v>122</v>
      </c>
      <c r="C18" s="130">
        <f>SUM(純數字!AB8:AM8)</f>
        <v>4.7699999999999996</v>
      </c>
      <c r="D18" s="130">
        <f>SUM(純數字!O8:Z8)</f>
        <v>4.57</v>
      </c>
      <c r="E18" s="131">
        <f>(C18-D18)/D18</f>
        <v>4.3763676148796338E-2</v>
      </c>
      <c r="F18" s="132"/>
      <c r="G18" s="132"/>
    </row>
    <row r="19" spans="2:7" ht="18" customHeight="1">
      <c r="B19" s="132"/>
    </row>
    <row r="20" spans="2:7">
      <c r="B20" s="134" t="s">
        <v>240</v>
      </c>
      <c r="C20" s="132"/>
      <c r="D20" s="132"/>
      <c r="E20" s="132"/>
    </row>
    <row r="21" spans="2:7">
      <c r="B21" s="133" t="s">
        <v>92</v>
      </c>
      <c r="C21" s="133" t="s">
        <v>246</v>
      </c>
      <c r="D21" s="133" t="s">
        <v>228</v>
      </c>
      <c r="E21" s="133" t="s">
        <v>87</v>
      </c>
      <c r="F21" s="133" t="s">
        <v>166</v>
      </c>
      <c r="G21" s="133" t="s">
        <v>84</v>
      </c>
    </row>
    <row r="22" spans="2:7">
      <c r="B22" s="132" t="s">
        <v>96</v>
      </c>
      <c r="C22" s="130">
        <f>SUM(純數字!AK4:AM4)</f>
        <v>56786.408937107502</v>
      </c>
      <c r="D22" s="130">
        <f>SUM(純數字!AH4:AJ4)</f>
        <v>46339.806525</v>
      </c>
      <c r="E22" s="142">
        <f>(C22-D22)/D22</f>
        <v>0.22543474380868711</v>
      </c>
      <c r="F22" s="130">
        <f>SUM(純數字!X4:Z4)</f>
        <v>56151.860945</v>
      </c>
      <c r="G22" s="142">
        <f t="shared" ref="G22:G26" si="0">(C22-F22)/F22</f>
        <v>1.1300569231873427E-2</v>
      </c>
    </row>
    <row r="23" spans="2:7">
      <c r="B23" s="132" t="s">
        <v>3</v>
      </c>
      <c r="C23" s="130">
        <f>SUM(純數字!AK5:AM5)</f>
        <v>11397.187810334708</v>
      </c>
      <c r="D23" s="130">
        <f>SUM(純數字!AH5:AJ5)</f>
        <v>10630.23751655</v>
      </c>
      <c r="E23" s="142">
        <f>(C23-D23)/D23</f>
        <v>7.2147992233537489E-2</v>
      </c>
      <c r="F23" s="130">
        <f>SUM(純數字!X5:Z5)</f>
        <v>10824.329724719842</v>
      </c>
      <c r="G23" s="142">
        <f t="shared" si="0"/>
        <v>5.2923192491689586E-2</v>
      </c>
    </row>
    <row r="24" spans="2:7">
      <c r="B24" s="132" t="s">
        <v>97</v>
      </c>
      <c r="C24" s="130">
        <f>SUM(純數字!AK6:AM6)</f>
        <v>6008.0276877229226</v>
      </c>
      <c r="D24" s="130">
        <f>SUM(純數字!AH6:AJ6)</f>
        <v>5124.0140365500001</v>
      </c>
      <c r="E24" s="142">
        <f>(C24-D24)/D24</f>
        <v>0.17252365916002232</v>
      </c>
      <c r="F24" s="130">
        <f>SUM(純數字!X6:Z6)</f>
        <v>5468.2935727198437</v>
      </c>
      <c r="G24" s="142">
        <f t="shared" si="0"/>
        <v>9.8702475978191401E-2</v>
      </c>
    </row>
    <row r="25" spans="2:7">
      <c r="B25" s="132" t="s">
        <v>105</v>
      </c>
      <c r="C25" s="130">
        <f>SUM(純數字!AK7:AM7)</f>
        <v>3882.3044830013268</v>
      </c>
      <c r="D25" s="130">
        <f>SUM(純數字!AH7:AJ7)</f>
        <v>3610.7005250005159</v>
      </c>
      <c r="E25" s="142">
        <f>(C25-D25)/D25</f>
        <v>7.5221956548382582E-2</v>
      </c>
      <c r="F25" s="130">
        <f>SUM(純數字!X7:Z7)</f>
        <v>3451.7697039998893</v>
      </c>
      <c r="G25" s="142">
        <f t="shared" si="0"/>
        <v>0.12472870901628706</v>
      </c>
    </row>
    <row r="26" spans="2:7">
      <c r="B26" s="132" t="s">
        <v>122</v>
      </c>
      <c r="C26" s="130">
        <f>SUM(純數字!AK8:AM8)</f>
        <v>1.28</v>
      </c>
      <c r="D26" s="130">
        <f>SUM(純數字!AH8:AJ8)</f>
        <v>1.19</v>
      </c>
      <c r="E26" s="142">
        <f>(C26-D26)/D26</f>
        <v>7.5630252100840401E-2</v>
      </c>
      <c r="F26" s="130">
        <f>SUM(純數字!X8:Z8)</f>
        <v>1.1400000000000001</v>
      </c>
      <c r="G26" s="142">
        <f t="shared" si="0"/>
        <v>0.12280701754385955</v>
      </c>
    </row>
    <row r="28" spans="2:7">
      <c r="B28" s="134" t="s">
        <v>247</v>
      </c>
      <c r="C28" s="132"/>
      <c r="D28" s="132"/>
      <c r="E28" s="132"/>
    </row>
    <row r="29" spans="2:7">
      <c r="B29" s="133" t="s">
        <v>92</v>
      </c>
      <c r="C29" s="133" t="s">
        <v>243</v>
      </c>
      <c r="D29" s="133" t="s">
        <v>244</v>
      </c>
      <c r="E29" s="133" t="s">
        <v>248</v>
      </c>
      <c r="F29" s="133" t="s">
        <v>245</v>
      </c>
      <c r="G29" s="133" t="s">
        <v>84</v>
      </c>
    </row>
    <row r="30" spans="2:7">
      <c r="B30" s="132" t="s">
        <v>96</v>
      </c>
      <c r="C30" s="130">
        <f>SUM(純數字!AH4:AM4)</f>
        <v>103126.2154621075</v>
      </c>
      <c r="D30" s="130">
        <f>SUM(純數字!AB4:AG4)</f>
        <v>95638.367530000003</v>
      </c>
      <c r="E30" s="142">
        <f>(C30-D30)/D30</f>
        <v>7.829334738235362E-2</v>
      </c>
      <c r="F30" s="130">
        <f>SUM(純數字!U4:Z4)</f>
        <v>103353.378108</v>
      </c>
      <c r="G30" s="142">
        <f t="shared" ref="G30:G34" si="1">(C30-F30)/F30</f>
        <v>-2.1979218294647948E-3</v>
      </c>
    </row>
    <row r="31" spans="2:7">
      <c r="B31" s="132" t="s">
        <v>3</v>
      </c>
      <c r="C31" s="130">
        <f>SUM(純數字!AH5:AM5)</f>
        <v>22027.42532688471</v>
      </c>
      <c r="D31" s="130">
        <f>SUM(純數字!AB5:AG5)</f>
        <v>21143.275359859999</v>
      </c>
      <c r="E31" s="142">
        <f>(C31-D31)/D31</f>
        <v>4.181707668165964E-2</v>
      </c>
      <c r="F31" s="130">
        <f>SUM(純數字!U5:Z5)</f>
        <v>21346.197818447923</v>
      </c>
      <c r="G31" s="142">
        <f t="shared" si="1"/>
        <v>3.1913295015379865E-2</v>
      </c>
    </row>
    <row r="32" spans="2:7">
      <c r="B32" s="132" t="s">
        <v>97</v>
      </c>
      <c r="C32" s="130">
        <f>SUM(純數字!AH6:AM6)</f>
        <v>11132.041724272922</v>
      </c>
      <c r="D32" s="130">
        <f>SUM(純數字!AB6:AG6)</f>
        <v>10318.042025860001</v>
      </c>
      <c r="E32" s="142">
        <f>(C32-D32)/D32</f>
        <v>7.8890907438911584E-2</v>
      </c>
      <c r="F32" s="130">
        <f>SUM(純數字!U6:Z6)</f>
        <v>10644.201523447922</v>
      </c>
      <c r="G32" s="142">
        <f t="shared" si="1"/>
        <v>4.5831544973133499E-2</v>
      </c>
    </row>
    <row r="33" spans="2:7">
      <c r="B33" s="132" t="s">
        <v>105</v>
      </c>
      <c r="C33" s="130">
        <f>SUM(純數字!AH7:AM7)</f>
        <v>7493.0050080018427</v>
      </c>
      <c r="D33" s="130">
        <f>SUM(純數字!AB7:AG7)</f>
        <v>6944.3890549995685</v>
      </c>
      <c r="E33" s="142">
        <f>(C33-D33)/D33</f>
        <v>7.9001327353239462E-2</v>
      </c>
      <c r="F33" s="130">
        <f>SUM(純數字!U7:Z7)</f>
        <v>7616.1946339998067</v>
      </c>
      <c r="G33" s="142">
        <f t="shared" si="1"/>
        <v>-1.6174695096160943E-2</v>
      </c>
    </row>
    <row r="34" spans="2:7">
      <c r="B34" s="132" t="s">
        <v>122</v>
      </c>
      <c r="C34" s="130">
        <f>SUM(純數字!AH8:AM8)</f>
        <v>2.4700000000000002</v>
      </c>
      <c r="D34" s="130">
        <f>SUM(純數字!AB8:AG8)</f>
        <v>2.3000000000000003</v>
      </c>
      <c r="E34" s="142">
        <f>(C34-D34)/D34</f>
        <v>7.3913043478260831E-2</v>
      </c>
      <c r="F34" s="130">
        <f>SUM(純數字!U8:Z8)</f>
        <v>2.52</v>
      </c>
      <c r="G34" s="142">
        <f t="shared" si="1"/>
        <v>-1.9841269841269771E-2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3E38-C80E-4C73-BEA3-4D97B6FAA119}">
  <dimension ref="B1:G19"/>
  <sheetViews>
    <sheetView topLeftCell="A14" zoomScale="89" zoomScaleNormal="115" workbookViewId="0">
      <selection activeCell="G10" sqref="G10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16384" width="8.88671875" style="14"/>
  </cols>
  <sheetData>
    <row r="1" spans="2:7" ht="15.6" customHeight="1"/>
    <row r="2" spans="2:7" ht="18" customHeight="1">
      <c r="B2" s="225" t="s">
        <v>234</v>
      </c>
      <c r="C2" s="225"/>
      <c r="D2" s="225"/>
      <c r="E2" s="225"/>
      <c r="F2" s="225"/>
      <c r="G2" s="225"/>
    </row>
    <row r="3" spans="2:7" ht="18" customHeight="1">
      <c r="B3" s="13"/>
      <c r="C3" s="13"/>
      <c r="D3" s="13"/>
      <c r="E3" s="13"/>
      <c r="F3" s="13"/>
      <c r="G3" s="127" t="s">
        <v>186</v>
      </c>
    </row>
    <row r="4" spans="2:7" ht="18" customHeight="1">
      <c r="B4" s="134" t="s">
        <v>125</v>
      </c>
      <c r="C4" s="13"/>
      <c r="D4" s="13"/>
      <c r="E4" s="13"/>
      <c r="F4" s="13"/>
      <c r="G4" s="127"/>
    </row>
    <row r="5" spans="2:7" ht="18" customHeight="1">
      <c r="B5" s="133" t="s">
        <v>92</v>
      </c>
      <c r="C5" s="133" t="s">
        <v>235</v>
      </c>
      <c r="D5" s="133" t="s">
        <v>231</v>
      </c>
      <c r="E5" s="133" t="s">
        <v>80</v>
      </c>
      <c r="F5" s="133" t="s">
        <v>113</v>
      </c>
      <c r="G5" s="133" t="s">
        <v>84</v>
      </c>
    </row>
    <row r="6" spans="2:7" ht="18" customHeight="1">
      <c r="B6" s="132" t="s">
        <v>96</v>
      </c>
      <c r="C6" s="130">
        <f>純數字!AL4</f>
        <v>23112.129747400701</v>
      </c>
      <c r="D6" s="130">
        <v>15624.962855965901</v>
      </c>
      <c r="E6" s="142">
        <f>(C6-D6)/D6</f>
        <v>0.47917982016680827</v>
      </c>
      <c r="F6" s="130">
        <f>純數字!Y4</f>
        <v>23065.358815</v>
      </c>
      <c r="G6" s="131">
        <f>(C6-F6)/F6</f>
        <v>2.0277565493706795E-3</v>
      </c>
    </row>
    <row r="7" spans="2:7" ht="18" customHeight="1">
      <c r="B7" s="132" t="s">
        <v>3</v>
      </c>
      <c r="C7" s="130">
        <f>純數字!AL5</f>
        <v>4029.7603394144553</v>
      </c>
      <c r="D7" s="130">
        <v>3407.5550666614872</v>
      </c>
      <c r="E7" s="142">
        <f>(C7-D7)/D7</f>
        <v>0.18259580860202107</v>
      </c>
      <c r="F7" s="130">
        <f>純數字!Y5</f>
        <v>3855.3619639505409</v>
      </c>
      <c r="G7" s="131">
        <f>(C7-F7)/F7</f>
        <v>4.5235279357586061E-2</v>
      </c>
    </row>
    <row r="8" spans="2:7" ht="18" customHeight="1">
      <c r="B8" s="132" t="s">
        <v>97</v>
      </c>
      <c r="C8" s="130">
        <f>純數字!AL6</f>
        <v>2231.4726118074723</v>
      </c>
      <c r="D8" s="130">
        <v>1607.5062628987503</v>
      </c>
      <c r="E8" s="142">
        <f>(C8-D8)/D8</f>
        <v>0.3881579582673283</v>
      </c>
      <c r="F8" s="130">
        <f>純數字!Y6</f>
        <v>2032.1162649505411</v>
      </c>
      <c r="G8" s="131">
        <f>(C8-F8)/F8</f>
        <v>9.8102825264175145E-2</v>
      </c>
    </row>
    <row r="9" spans="2:7" ht="18" customHeight="1">
      <c r="B9" s="132" t="s">
        <v>105</v>
      </c>
      <c r="C9" s="130">
        <f>純數字!AL7</f>
        <v>1422.7779910009551</v>
      </c>
      <c r="D9" s="130">
        <v>1137.3202419994745</v>
      </c>
      <c r="E9" s="142">
        <f>(C9-D9)/D9</f>
        <v>0.25099153119760659</v>
      </c>
      <c r="F9" s="130">
        <f>純數字!Y7</f>
        <v>1325.7904499998908</v>
      </c>
      <c r="G9" s="131">
        <f>(C9-F9)/F9</f>
        <v>7.3154502659958279E-2</v>
      </c>
    </row>
    <row r="10" spans="2:7" ht="18" customHeight="1">
      <c r="B10" s="132" t="s">
        <v>122</v>
      </c>
      <c r="C10" s="130">
        <f>純數字!AL8</f>
        <v>0.47</v>
      </c>
      <c r="D10" s="130">
        <v>0.38</v>
      </c>
      <c r="E10" s="142">
        <f>(C10-D10)/D10</f>
        <v>0.2368421052631578</v>
      </c>
      <c r="F10" s="130">
        <f>純數字!Y8</f>
        <v>0.43</v>
      </c>
      <c r="G10" s="131">
        <f>(C10-F10)/F10</f>
        <v>9.3023255813953445E-2</v>
      </c>
    </row>
    <row r="11" spans="2:7" ht="18" customHeight="1">
      <c r="B11" s="132"/>
      <c r="C11" s="132"/>
      <c r="D11" s="130"/>
      <c r="E11" s="132"/>
      <c r="F11" s="132"/>
      <c r="G11" s="132"/>
    </row>
    <row r="12" spans="2:7" ht="18" customHeight="1">
      <c r="B12" s="134" t="s">
        <v>131</v>
      </c>
      <c r="C12" s="132"/>
      <c r="D12" s="132"/>
      <c r="E12" s="132"/>
      <c r="F12" s="132"/>
      <c r="G12" s="132"/>
    </row>
    <row r="13" spans="2:7" ht="18" customHeight="1">
      <c r="B13" s="133" t="s">
        <v>92</v>
      </c>
      <c r="C13" s="133" t="s">
        <v>236</v>
      </c>
      <c r="D13" s="133" t="s">
        <v>130</v>
      </c>
      <c r="E13" s="133" t="s">
        <v>84</v>
      </c>
      <c r="F13" s="132"/>
      <c r="G13" s="132"/>
    </row>
    <row r="14" spans="2:7" ht="18" customHeight="1">
      <c r="B14" s="132" t="s">
        <v>96</v>
      </c>
      <c r="C14" s="130">
        <f>SUM(純數字!AB4:AM4)</f>
        <v>198764.58299210749</v>
      </c>
      <c r="D14" s="130">
        <f>SUM(純數字!O4:Y4)</f>
        <v>182217.374197</v>
      </c>
      <c r="E14" s="131">
        <f>(C14-D14)/D14</f>
        <v>9.0810269152588441E-2</v>
      </c>
      <c r="F14" s="132"/>
      <c r="G14" s="132"/>
    </row>
    <row r="15" spans="2:7" ht="18" customHeight="1">
      <c r="B15" s="132" t="s">
        <v>3</v>
      </c>
      <c r="C15" s="130">
        <f>SUM(純數字!AB5:AM5)</f>
        <v>43170.700686744705</v>
      </c>
      <c r="D15" s="130">
        <f>SUM(純數字!O5:Y5)</f>
        <v>39023.431245439904</v>
      </c>
      <c r="E15" s="131">
        <f>(C15-D15)/D15</f>
        <v>0.10627639110513716</v>
      </c>
      <c r="F15" s="132"/>
      <c r="G15" s="132"/>
    </row>
    <row r="16" spans="2:7" ht="18" customHeight="1">
      <c r="B16" s="132" t="s">
        <v>97</v>
      </c>
      <c r="C16" s="130">
        <f>SUM(純數字!AB6:AM6)</f>
        <v>21450.083750132922</v>
      </c>
      <c r="D16" s="130">
        <f>SUM(純數字!O6:Y6)</f>
        <v>18519.122412439909</v>
      </c>
      <c r="E16" s="131">
        <f>(C16-D16)/D16</f>
        <v>0.15826675111365915</v>
      </c>
      <c r="F16" s="132"/>
      <c r="G16" s="132"/>
    </row>
    <row r="17" spans="2:7" ht="18" customHeight="1">
      <c r="B17" s="132" t="s">
        <v>105</v>
      </c>
      <c r="C17" s="130">
        <f>SUM(純數字!AB7:AM7)</f>
        <v>14437.394063001411</v>
      </c>
      <c r="D17" s="130">
        <f>SUM(純數字!O7:Y7)</f>
        <v>12867.450872999992</v>
      </c>
      <c r="E17" s="131">
        <f>(C17-D17)/D17</f>
        <v>0.12200887382408114</v>
      </c>
      <c r="F17" s="132"/>
      <c r="G17" s="132"/>
    </row>
    <row r="18" spans="2:7" ht="18" customHeight="1">
      <c r="B18" s="132" t="s">
        <v>122</v>
      </c>
      <c r="C18" s="130">
        <f>SUM(純數字!AB8:AM8)</f>
        <v>4.7699999999999996</v>
      </c>
      <c r="D18" s="130">
        <f>SUM(純數字!O8:Y8)</f>
        <v>4.25</v>
      </c>
      <c r="E18" s="131">
        <f>(C18-D18)/D18</f>
        <v>0.12235294117647048</v>
      </c>
      <c r="F18" s="132"/>
      <c r="G18" s="132"/>
    </row>
    <row r="19" spans="2:7" ht="18" customHeight="1">
      <c r="B19" s="132"/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6D74-A536-437C-8677-5BCB53DCCAFB}">
  <dimension ref="B1:G19"/>
  <sheetViews>
    <sheetView zoomScale="89" zoomScaleNormal="115" workbookViewId="0">
      <selection activeCell="G9" sqref="G9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16384" width="8.88671875" style="14"/>
  </cols>
  <sheetData>
    <row r="1" spans="2:7" ht="15.6" customHeight="1"/>
    <row r="2" spans="2:7" ht="18" customHeight="1">
      <c r="B2" s="225" t="s">
        <v>233</v>
      </c>
      <c r="C2" s="225"/>
      <c r="D2" s="225"/>
      <c r="E2" s="225"/>
      <c r="F2" s="225"/>
      <c r="G2" s="225"/>
    </row>
    <row r="3" spans="2:7" ht="18" customHeight="1">
      <c r="B3" s="13"/>
      <c r="C3" s="13"/>
      <c r="D3" s="13"/>
      <c r="E3" s="13"/>
      <c r="F3" s="13"/>
      <c r="G3" s="127" t="s">
        <v>186</v>
      </c>
    </row>
    <row r="4" spans="2:7" ht="18" customHeight="1">
      <c r="B4" s="13" t="s">
        <v>107</v>
      </c>
      <c r="C4" s="13"/>
      <c r="D4" s="13"/>
      <c r="E4" s="13"/>
      <c r="F4" s="13"/>
      <c r="G4" s="127"/>
    </row>
    <row r="5" spans="2:7" ht="18" customHeight="1">
      <c r="B5" s="133" t="s">
        <v>92</v>
      </c>
      <c r="C5" s="133" t="s">
        <v>231</v>
      </c>
      <c r="D5" s="133" t="s">
        <v>230</v>
      </c>
      <c r="E5" s="133" t="s">
        <v>80</v>
      </c>
      <c r="F5" s="133" t="s">
        <v>93</v>
      </c>
      <c r="G5" s="133" t="s">
        <v>84</v>
      </c>
    </row>
    <row r="6" spans="2:7" ht="18" customHeight="1">
      <c r="B6" s="132" t="s">
        <v>96</v>
      </c>
      <c r="C6" s="130">
        <f>純數字!AK4</f>
        <v>15624.962855965901</v>
      </c>
      <c r="D6" s="130">
        <v>15778.960085000001</v>
      </c>
      <c r="E6" s="142">
        <f>(C6-D6)/D6</f>
        <v>-9.7596564161724526E-3</v>
      </c>
      <c r="F6" s="130">
        <f>純數字!X4</f>
        <v>15929.971154999999</v>
      </c>
      <c r="G6" s="131">
        <f>(C6-F6)/F6</f>
        <v>-1.9146820547654531E-2</v>
      </c>
    </row>
    <row r="7" spans="2:7" ht="18" customHeight="1">
      <c r="B7" s="132" t="s">
        <v>3</v>
      </c>
      <c r="C7" s="130">
        <f>純數字!AK5</f>
        <v>3407.5550666614872</v>
      </c>
      <c r="D7" s="130">
        <v>3492.8313839799998</v>
      </c>
      <c r="E7" s="142">
        <f>(C7-D7)/D7</f>
        <v>-2.4414667627425588E-2</v>
      </c>
      <c r="F7" s="130">
        <f>純數字!X5</f>
        <v>3472.3096040193809</v>
      </c>
      <c r="G7" s="131">
        <f>(C7-F7)/F7</f>
        <v>-1.864883744322134E-2</v>
      </c>
    </row>
    <row r="8" spans="2:7" ht="18" customHeight="1">
      <c r="B8" s="132" t="s">
        <v>97</v>
      </c>
      <c r="C8" s="130">
        <f>純數字!AK6</f>
        <v>1607.5062628987503</v>
      </c>
      <c r="D8" s="130">
        <v>1665.11679598</v>
      </c>
      <c r="E8" s="142">
        <f>(C8-D8)/D8</f>
        <v>-3.4598493763521983E-2</v>
      </c>
      <c r="F8" s="130">
        <f>純數字!X6</f>
        <v>1704.8238500193811</v>
      </c>
      <c r="G8" s="131">
        <f>(C8-F8)/F8</f>
        <v>-5.7083661235455198E-2</v>
      </c>
    </row>
    <row r="9" spans="2:7" ht="18" customHeight="1">
      <c r="B9" s="132" t="s">
        <v>105</v>
      </c>
      <c r="C9" s="130">
        <f>純數字!AK7</f>
        <v>1137.3202419994745</v>
      </c>
      <c r="D9" s="130">
        <v>1144.5772630005497</v>
      </c>
      <c r="E9" s="142">
        <f>(C9-D9)/D9</f>
        <v>-6.3403504819330488E-3</v>
      </c>
      <c r="F9" s="130">
        <f>純數字!X7</f>
        <v>1176.7139150000462</v>
      </c>
      <c r="G9" s="131">
        <f>(C9-F9)/F9</f>
        <v>-3.3477697933545818E-2</v>
      </c>
    </row>
    <row r="10" spans="2:7" ht="18" customHeight="1">
      <c r="B10" s="132" t="s">
        <v>122</v>
      </c>
      <c r="C10" s="130">
        <f>純數字!AK8</f>
        <v>0.38</v>
      </c>
      <c r="D10" s="130">
        <v>0.38</v>
      </c>
      <c r="E10" s="142">
        <f>(C10-D10)/D10</f>
        <v>0</v>
      </c>
      <c r="F10" s="130">
        <f>純數字!X8</f>
        <v>0.39</v>
      </c>
      <c r="G10" s="131">
        <f>(C10-F10)/F10</f>
        <v>-2.5641025641025664E-2</v>
      </c>
    </row>
    <row r="11" spans="2:7" ht="18" customHeight="1">
      <c r="B11" s="132"/>
      <c r="C11" s="132"/>
      <c r="D11" s="130"/>
      <c r="E11" s="132"/>
      <c r="F11" s="132"/>
      <c r="G11" s="132"/>
    </row>
    <row r="12" spans="2:7" ht="18" customHeight="1">
      <c r="B12" s="13" t="s">
        <v>108</v>
      </c>
      <c r="C12" s="132"/>
      <c r="D12" s="132"/>
      <c r="E12" s="132"/>
      <c r="F12" s="132"/>
      <c r="G12" s="132"/>
    </row>
    <row r="13" spans="2:7" ht="18" customHeight="1">
      <c r="B13" s="133" t="s">
        <v>92</v>
      </c>
      <c r="C13" s="133" t="s">
        <v>232</v>
      </c>
      <c r="D13" s="133" t="s">
        <v>110</v>
      </c>
      <c r="E13" s="133" t="s">
        <v>84</v>
      </c>
      <c r="F13" s="132"/>
      <c r="G13" s="132"/>
    </row>
    <row r="14" spans="2:7" ht="18" customHeight="1">
      <c r="B14" s="132" t="s">
        <v>96</v>
      </c>
      <c r="C14" s="130">
        <f>SUM(純數字!AB4:AM4)</f>
        <v>198764.58299210749</v>
      </c>
      <c r="D14" s="130">
        <f>SUM(純數字!O4:X4)</f>
        <v>159152.01538200001</v>
      </c>
      <c r="E14" s="131">
        <f>(C14-D14)/D14</f>
        <v>0.24889768134590418</v>
      </c>
      <c r="F14" s="132"/>
      <c r="G14" s="132"/>
    </row>
    <row r="15" spans="2:7" ht="18" customHeight="1">
      <c r="B15" s="132" t="s">
        <v>3</v>
      </c>
      <c r="C15" s="130">
        <f>SUM(純數字!AB5:AM5)</f>
        <v>43170.700686744705</v>
      </c>
      <c r="D15" s="130">
        <f>SUM(純數字!O5:X5)</f>
        <v>35168.069281489363</v>
      </c>
      <c r="E15" s="131">
        <f>(C15-D15)/D15</f>
        <v>0.22755390241077325</v>
      </c>
      <c r="F15" s="132"/>
      <c r="G15" s="132"/>
    </row>
    <row r="16" spans="2:7" ht="18" customHeight="1">
      <c r="B16" s="132" t="s">
        <v>97</v>
      </c>
      <c r="C16" s="130">
        <f>SUM(純數字!AB6:AM6)</f>
        <v>21450.083750132922</v>
      </c>
      <c r="D16" s="130">
        <f>SUM(純數字!O6:X6)</f>
        <v>16487.006147489366</v>
      </c>
      <c r="E16" s="131">
        <f>(C16-D16)/D16</f>
        <v>0.30102964469382038</v>
      </c>
      <c r="F16" s="132"/>
      <c r="G16" s="132"/>
    </row>
    <row r="17" spans="2:7" ht="18" customHeight="1">
      <c r="B17" s="132" t="s">
        <v>105</v>
      </c>
      <c r="C17" s="130">
        <f>SUM(純數字!AB7:AM7)</f>
        <v>14437.394063001411</v>
      </c>
      <c r="D17" s="130">
        <f>SUM(純數字!O7:X7)</f>
        <v>11541.660423000101</v>
      </c>
      <c r="E17" s="131">
        <f>(C17-D17)/D17</f>
        <v>0.25089402511190867</v>
      </c>
      <c r="F17" s="132"/>
      <c r="G17" s="132"/>
    </row>
    <row r="18" spans="2:7" ht="18" customHeight="1">
      <c r="B18" s="132" t="s">
        <v>122</v>
      </c>
      <c r="C18" s="130">
        <f>SUM(純數字!AB8:AM8)</f>
        <v>4.7699999999999996</v>
      </c>
      <c r="D18" s="130">
        <f>SUM(純數字!O8:X8)</f>
        <v>3.8200000000000003</v>
      </c>
      <c r="E18" s="131">
        <f>(C18-D18)/D18</f>
        <v>0.24869109947643958</v>
      </c>
      <c r="F18" s="132"/>
      <c r="G18" s="132"/>
    </row>
    <row r="19" spans="2:7" ht="18" customHeight="1">
      <c r="B19" s="132"/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EFE9-946A-4B32-88FE-0FB9BABBAB57}">
  <dimension ref="B1:G26"/>
  <sheetViews>
    <sheetView zoomScale="89" zoomScaleNormal="115" workbookViewId="0">
      <selection activeCell="B2" sqref="B2:G2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16384" width="8.88671875" style="14"/>
  </cols>
  <sheetData>
    <row r="1" spans="2:7" ht="15.6" customHeight="1"/>
    <row r="2" spans="2:7" ht="18" customHeight="1">
      <c r="B2" s="225" t="s">
        <v>223</v>
      </c>
      <c r="C2" s="225"/>
      <c r="D2" s="225"/>
      <c r="E2" s="225"/>
      <c r="F2" s="225"/>
      <c r="G2" s="225"/>
    </row>
    <row r="3" spans="2:7" ht="18" customHeight="1">
      <c r="B3" s="13"/>
      <c r="C3" s="13"/>
      <c r="D3" s="13"/>
      <c r="E3" s="13"/>
      <c r="F3" s="13"/>
      <c r="G3" s="127" t="s">
        <v>186</v>
      </c>
    </row>
    <row r="4" spans="2:7" ht="18" customHeight="1">
      <c r="B4" s="134" t="s">
        <v>91</v>
      </c>
      <c r="C4" s="13"/>
      <c r="D4" s="13"/>
      <c r="E4" s="13"/>
      <c r="F4" s="13"/>
      <c r="G4" s="127"/>
    </row>
    <row r="5" spans="2:7" ht="18" customHeight="1">
      <c r="B5" s="133" t="s">
        <v>92</v>
      </c>
      <c r="C5" s="133" t="s">
        <v>227</v>
      </c>
      <c r="D5" s="133" t="s">
        <v>224</v>
      </c>
      <c r="E5" s="133" t="s">
        <v>80</v>
      </c>
      <c r="F5" s="133" t="s">
        <v>225</v>
      </c>
      <c r="G5" s="133" t="s">
        <v>84</v>
      </c>
    </row>
    <row r="6" spans="2:7" ht="18" customHeight="1">
      <c r="B6" s="132" t="s">
        <v>96</v>
      </c>
      <c r="C6" s="130">
        <f>純數字!AJ4</f>
        <v>15778.960085000001</v>
      </c>
      <c r="D6" s="130">
        <v>15468.138074</v>
      </c>
      <c r="E6" s="142">
        <f>(C6-D6)/D6</f>
        <v>2.0094339054449805E-2</v>
      </c>
      <c r="F6" s="130">
        <f>純數字!W4</f>
        <v>15913.075638</v>
      </c>
      <c r="G6" s="131">
        <f>(C6-F6)/F6</f>
        <v>-8.42800952191387E-3</v>
      </c>
    </row>
    <row r="7" spans="2:7" ht="18" customHeight="1">
      <c r="B7" s="132" t="s">
        <v>3</v>
      </c>
      <c r="C7" s="130">
        <f>純數字!AJ5</f>
        <v>3492.8313839799998</v>
      </c>
      <c r="D7" s="130">
        <v>3561.4542377600001</v>
      </c>
      <c r="E7" s="142">
        <f>(C7-D7)/D7</f>
        <v>-1.9268211578414393E-2</v>
      </c>
      <c r="F7" s="130">
        <f>純數字!W5</f>
        <v>3446.191014701747</v>
      </c>
      <c r="G7" s="131">
        <f>(C7-F7)/F7</f>
        <v>1.353388975807812E-2</v>
      </c>
    </row>
    <row r="8" spans="2:7" ht="18" customHeight="1">
      <c r="B8" s="132" t="s">
        <v>97</v>
      </c>
      <c r="C8" s="130">
        <f>純數字!AJ6</f>
        <v>1665.11679598</v>
      </c>
      <c r="D8" s="130">
        <v>1725.4035397600003</v>
      </c>
      <c r="E8" s="142">
        <f>(C8-D8)/D8</f>
        <v>-3.4940663091711302E-2</v>
      </c>
      <c r="F8" s="130">
        <f>純數字!W6</f>
        <v>1686.4044807017469</v>
      </c>
      <c r="G8" s="131">
        <f>(C8-F8)/F8</f>
        <v>-1.2623119165865055E-2</v>
      </c>
    </row>
    <row r="9" spans="2:7" ht="18" customHeight="1">
      <c r="B9" s="132" t="s">
        <v>105</v>
      </c>
      <c r="C9" s="130">
        <f>純數字!AJ7</f>
        <v>1144.5772630005497</v>
      </c>
      <c r="D9" s="130">
        <v>1262.8929869994395</v>
      </c>
      <c r="E9" s="142">
        <f>(C9-D9)/D9</f>
        <v>-9.3686262586667041E-2</v>
      </c>
      <c r="F9" s="130">
        <f>純數字!W7</f>
        <v>1174.3657500001436</v>
      </c>
      <c r="G9" s="131">
        <f>(C9-F9)/F9</f>
        <v>-2.5365595854264567E-2</v>
      </c>
    </row>
    <row r="10" spans="2:7" ht="18" customHeight="1">
      <c r="B10" s="132" t="s">
        <v>122</v>
      </c>
      <c r="C10" s="130">
        <f>純數字!AJ8</f>
        <v>0.38</v>
      </c>
      <c r="D10" s="130">
        <v>0.42</v>
      </c>
      <c r="E10" s="142">
        <f>(C10-D10)/D10</f>
        <v>-9.5238095238095191E-2</v>
      </c>
      <c r="F10" s="130">
        <f>純數字!W8</f>
        <v>0.39</v>
      </c>
      <c r="G10" s="131">
        <f>(C10-F10)/F10</f>
        <v>-2.5641025641025664E-2</v>
      </c>
    </row>
    <row r="11" spans="2:7" ht="18" customHeight="1">
      <c r="B11" s="132"/>
      <c r="C11" s="132"/>
      <c r="D11" s="130"/>
      <c r="E11" s="132"/>
      <c r="F11" s="132"/>
      <c r="G11" s="132"/>
    </row>
    <row r="12" spans="2:7" ht="18" customHeight="1">
      <c r="B12" s="134" t="s">
        <v>106</v>
      </c>
      <c r="C12" s="132"/>
      <c r="D12" s="132"/>
      <c r="E12" s="132"/>
      <c r="F12" s="132"/>
      <c r="G12" s="132"/>
    </row>
    <row r="13" spans="2:7" ht="18" customHeight="1">
      <c r="B13" s="133" t="s">
        <v>92</v>
      </c>
      <c r="C13" s="133" t="s">
        <v>226</v>
      </c>
      <c r="D13" s="133" t="s">
        <v>98</v>
      </c>
      <c r="E13" s="133" t="s">
        <v>84</v>
      </c>
      <c r="F13" s="132"/>
      <c r="G13" s="132"/>
    </row>
    <row r="14" spans="2:7" ht="18" customHeight="1">
      <c r="B14" s="132" t="s">
        <v>96</v>
      </c>
      <c r="C14" s="130">
        <f>SUM(純數字!AB4:AJ4)</f>
        <v>141978.17405500001</v>
      </c>
      <c r="D14" s="130">
        <f>SUM(純數字!O4:W4)</f>
        <v>143222.04422700001</v>
      </c>
      <c r="E14" s="131">
        <f>(C14-D14)/D14</f>
        <v>-8.6849072621008067E-3</v>
      </c>
      <c r="F14" s="132"/>
      <c r="G14" s="132"/>
    </row>
    <row r="15" spans="2:7" ht="18" customHeight="1">
      <c r="B15" s="132" t="s">
        <v>3</v>
      </c>
      <c r="C15" s="130">
        <f>SUM(純數字!AB5:AJ5)</f>
        <v>31773.512876410001</v>
      </c>
      <c r="D15" s="130">
        <f>SUM(純數字!O5:W5)</f>
        <v>31695.759677469985</v>
      </c>
      <c r="E15" s="131">
        <f>(C15-D15)/D15</f>
        <v>2.4531104391002966E-3</v>
      </c>
      <c r="F15" s="132"/>
      <c r="G15" s="132"/>
    </row>
    <row r="16" spans="2:7" ht="18" customHeight="1">
      <c r="B16" s="132" t="s">
        <v>97</v>
      </c>
      <c r="C16" s="130">
        <f>SUM(純數字!AB6:AJ6)</f>
        <v>15442.056062410002</v>
      </c>
      <c r="D16" s="130">
        <f>SUM(純數字!O6:W6)</f>
        <v>14782.182297469984</v>
      </c>
      <c r="E16" s="131">
        <f>(C16-D16)/D16</f>
        <v>4.4639807009615673E-2</v>
      </c>
      <c r="F16" s="132"/>
      <c r="G16" s="132"/>
    </row>
    <row r="17" spans="2:7" ht="18" customHeight="1">
      <c r="B17" s="132" t="s">
        <v>105</v>
      </c>
      <c r="C17" s="130">
        <f>SUM(純數字!AB7:AJ7)</f>
        <v>10555.089580000085</v>
      </c>
      <c r="D17" s="130">
        <f>SUM(純數字!O7:W7)</f>
        <v>10364.946508000055</v>
      </c>
      <c r="E17" s="131">
        <f>(C17-D17)/D17</f>
        <v>1.8344819421235826E-2</v>
      </c>
      <c r="F17" s="132"/>
      <c r="G17" s="132"/>
    </row>
    <row r="18" spans="2:7" ht="18" customHeight="1">
      <c r="B18" s="132" t="s">
        <v>122</v>
      </c>
      <c r="C18" s="130">
        <f>SUM(純數字!AB8:AJ8)</f>
        <v>3.49</v>
      </c>
      <c r="D18" s="130">
        <f>SUM(純數字!O8:W8)</f>
        <v>3.43</v>
      </c>
      <c r="E18" s="131">
        <f>(C18-D18)/D18</f>
        <v>1.7492711370262405E-2</v>
      </c>
      <c r="F18" s="132"/>
      <c r="G18" s="132"/>
    </row>
    <row r="19" spans="2:7" ht="18" customHeight="1">
      <c r="B19" s="132"/>
    </row>
    <row r="20" spans="2:7">
      <c r="B20" s="134" t="s">
        <v>222</v>
      </c>
      <c r="C20" s="132"/>
      <c r="D20" s="132"/>
      <c r="E20" s="132"/>
    </row>
    <row r="21" spans="2:7">
      <c r="B21" s="133" t="s">
        <v>92</v>
      </c>
      <c r="C21" s="133" t="s">
        <v>228</v>
      </c>
      <c r="D21" s="133" t="s">
        <v>229</v>
      </c>
      <c r="E21" s="133" t="s">
        <v>87</v>
      </c>
      <c r="F21" s="133" t="s">
        <v>101</v>
      </c>
      <c r="G21" s="133" t="s">
        <v>84</v>
      </c>
    </row>
    <row r="22" spans="2:7">
      <c r="B22" s="132" t="s">
        <v>96</v>
      </c>
      <c r="C22" s="130">
        <f>SUM(純數字!AH4:AJ4)</f>
        <v>46339.806525</v>
      </c>
      <c r="D22" s="130">
        <v>47471.014518999997</v>
      </c>
      <c r="E22" s="142">
        <f>(C22-D22)/D22</f>
        <v>-2.3829446357149946E-2</v>
      </c>
      <c r="F22" s="130">
        <f>SUM(純數字!U4:W4)</f>
        <v>47201.517163000004</v>
      </c>
      <c r="G22" s="131">
        <f>(C22-F22)/F22</f>
        <v>-1.8255994505945158E-2</v>
      </c>
    </row>
    <row r="23" spans="2:7">
      <c r="B23" s="132" t="s">
        <v>3</v>
      </c>
      <c r="C23" s="130">
        <f>SUM(純數字!AH5:AJ5)</f>
        <v>10630.23751655</v>
      </c>
      <c r="D23" s="130">
        <v>10588.91983191</v>
      </c>
      <c r="E23" s="142">
        <f>(C23-D23)/D23</f>
        <v>3.9019735058800028E-3</v>
      </c>
      <c r="F23" s="130">
        <f>SUM(純數字!U5:W5)</f>
        <v>10521.868093728081</v>
      </c>
      <c r="G23" s="131">
        <f>(C23-F23)/F23</f>
        <v>1.0299447004711694E-2</v>
      </c>
    </row>
    <row r="24" spans="2:7">
      <c r="B24" s="132" t="s">
        <v>97</v>
      </c>
      <c r="C24" s="130">
        <f>SUM(純數字!AH6:AJ6)</f>
        <v>5124.0140365500001</v>
      </c>
      <c r="D24" s="130">
        <v>5168.48405791</v>
      </c>
      <c r="E24" s="142">
        <f>(C24-D24)/D24</f>
        <v>-8.6040743981674259E-3</v>
      </c>
      <c r="F24" s="130">
        <f>SUM(純數字!U6:W6)</f>
        <v>5175.9079507280794</v>
      </c>
      <c r="G24" s="131">
        <f>(C24-F24)/F24</f>
        <v>-1.002605043831576E-2</v>
      </c>
    </row>
    <row r="25" spans="2:7">
      <c r="B25" s="132" t="s">
        <v>105</v>
      </c>
      <c r="C25" s="130">
        <f>SUM(純數字!AH7:AJ7)</f>
        <v>3610.7005250005159</v>
      </c>
      <c r="D25" s="130">
        <v>3289.1905719993479</v>
      </c>
      <c r="E25" s="142">
        <f>(C25-D25)/D25</f>
        <v>9.774743845436018E-2</v>
      </c>
      <c r="F25" s="130">
        <f>SUM(純數字!U7:W7)</f>
        <v>4164.4249299999174</v>
      </c>
      <c r="G25" s="131">
        <f>(C25-F25)/F25</f>
        <v>-0.13296539481608868</v>
      </c>
    </row>
    <row r="26" spans="2:7">
      <c r="B26" s="132" t="s">
        <v>122</v>
      </c>
      <c r="C26" s="130">
        <f>SUM(純數字!AH8:AJ8)</f>
        <v>1.19</v>
      </c>
      <c r="D26" s="130">
        <v>1.0900000000000001</v>
      </c>
      <c r="E26" s="142">
        <f>(C26-D26)/D26</f>
        <v>9.1743119266054912E-2</v>
      </c>
      <c r="F26" s="130">
        <f>SUM(純數字!U8:W8)</f>
        <v>1.38</v>
      </c>
      <c r="G26" s="131">
        <f>(C26-F26)/F26</f>
        <v>-0.13768115942028983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3F64-9852-43AE-A59A-9F123C5C5D6B}">
  <dimension ref="B1:G19"/>
  <sheetViews>
    <sheetView zoomScale="89" zoomScaleNormal="115" workbookViewId="0">
      <selection activeCell="C14" sqref="C14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16384" width="8.88671875" style="14"/>
  </cols>
  <sheetData>
    <row r="1" spans="2:7" ht="15.6" customHeight="1"/>
    <row r="2" spans="2:7" ht="18" customHeight="1">
      <c r="B2" s="225" t="s">
        <v>220</v>
      </c>
      <c r="C2" s="225"/>
      <c r="D2" s="225"/>
      <c r="E2" s="225"/>
      <c r="F2" s="225"/>
      <c r="G2" s="225"/>
    </row>
    <row r="3" spans="2:7" ht="18" customHeight="1">
      <c r="B3" s="13"/>
      <c r="C3" s="13"/>
      <c r="D3" s="13"/>
      <c r="E3" s="13"/>
      <c r="F3" s="13"/>
      <c r="G3" s="127" t="s">
        <v>186</v>
      </c>
    </row>
    <row r="4" spans="2:7" ht="18" customHeight="1">
      <c r="B4" s="134" t="s">
        <v>219</v>
      </c>
      <c r="C4" s="13"/>
      <c r="D4" s="13"/>
      <c r="E4" s="13"/>
      <c r="F4" s="13"/>
      <c r="G4" s="127"/>
    </row>
    <row r="5" spans="2:7" ht="18" customHeight="1">
      <c r="B5" s="133" t="s">
        <v>92</v>
      </c>
      <c r="C5" s="133" t="s">
        <v>217</v>
      </c>
      <c r="D5" s="133" t="s">
        <v>216</v>
      </c>
      <c r="E5" s="133" t="s">
        <v>80</v>
      </c>
      <c r="F5" s="133" t="s">
        <v>221</v>
      </c>
      <c r="G5" s="133" t="s">
        <v>84</v>
      </c>
    </row>
    <row r="6" spans="2:7" ht="18" customHeight="1">
      <c r="B6" s="132" t="s">
        <v>96</v>
      </c>
      <c r="C6" s="130">
        <f>純數字!AI4</f>
        <v>15468.138074</v>
      </c>
      <c r="D6" s="130">
        <v>15092.708366000001</v>
      </c>
      <c r="E6" s="142">
        <f>(C6-D6)/D6</f>
        <v>2.4874906404853517E-2</v>
      </c>
      <c r="F6" s="130">
        <f>純數字!V4</f>
        <v>15817.810332999999</v>
      </c>
      <c r="G6" s="131">
        <f>(C6-F6)/F6</f>
        <v>-2.2106236681223395E-2</v>
      </c>
    </row>
    <row r="7" spans="2:7" ht="18" customHeight="1">
      <c r="B7" s="132" t="s">
        <v>3</v>
      </c>
      <c r="C7" s="130">
        <f>純數字!AI5</f>
        <v>3561.4542377600001</v>
      </c>
      <c r="D7" s="130">
        <v>3575.9518948099999</v>
      </c>
      <c r="E7" s="142">
        <f>(C7-D7)/D7</f>
        <v>-4.0542091942123611E-3</v>
      </c>
      <c r="F7" s="130">
        <f>純數字!V5</f>
        <v>3562.6663288240024</v>
      </c>
      <c r="G7" s="131">
        <f>(C7-F7)/F7</f>
        <v>-3.4022020367045644E-4</v>
      </c>
    </row>
    <row r="8" spans="2:7" ht="18" customHeight="1">
      <c r="B8" s="132" t="s">
        <v>97</v>
      </c>
      <c r="C8" s="130">
        <f>純數字!AI6</f>
        <v>1725.4035397600003</v>
      </c>
      <c r="D8" s="130">
        <v>1733.4937008099998</v>
      </c>
      <c r="E8" s="142">
        <f>(C8-D8)/D8</f>
        <v>-4.6669688192228836E-3</v>
      </c>
      <c r="F8" s="130">
        <f>純數字!V6</f>
        <v>1798.288207824002</v>
      </c>
      <c r="G8" s="131">
        <f>(C8-F8)/F8</f>
        <v>-4.0530026136463962E-2</v>
      </c>
    </row>
    <row r="9" spans="2:7" ht="18" customHeight="1">
      <c r="B9" s="132" t="s">
        <v>105</v>
      </c>
      <c r="C9" s="130">
        <f>純數字!AI7</f>
        <v>1262.8929869994395</v>
      </c>
      <c r="D9" s="130">
        <v>1203.2302750005272</v>
      </c>
      <c r="E9" s="142">
        <f>(C9-D9)/D9</f>
        <v>4.958544780539715E-2</v>
      </c>
      <c r="F9" s="130">
        <f>純數字!V7</f>
        <v>1153.2636659996854</v>
      </c>
      <c r="G9" s="131">
        <f>(C9-F9)/F9</f>
        <v>9.5060066688846853E-2</v>
      </c>
    </row>
    <row r="10" spans="2:7" ht="18" customHeight="1">
      <c r="B10" s="132" t="s">
        <v>122</v>
      </c>
      <c r="C10" s="130">
        <f>純數字!AI8</f>
        <v>0.42</v>
      </c>
      <c r="D10" s="130">
        <v>0.39</v>
      </c>
      <c r="E10" s="142">
        <f>(C10-D10)/D10</f>
        <v>7.6923076923076844E-2</v>
      </c>
      <c r="F10" s="130">
        <f>純數字!V8</f>
        <v>0.38</v>
      </c>
      <c r="G10" s="131">
        <f>(C10-F10)/F10</f>
        <v>0.10526315789473679</v>
      </c>
    </row>
    <row r="11" spans="2:7" ht="18" customHeight="1">
      <c r="B11" s="132"/>
      <c r="C11" s="132"/>
      <c r="D11" s="130"/>
      <c r="E11" s="132"/>
      <c r="F11" s="132"/>
      <c r="G11" s="132"/>
    </row>
    <row r="12" spans="2:7" ht="18" customHeight="1">
      <c r="B12" s="134" t="s">
        <v>218</v>
      </c>
      <c r="C12" s="132"/>
      <c r="D12" s="132"/>
      <c r="E12" s="132"/>
      <c r="F12" s="132"/>
      <c r="G12" s="132"/>
    </row>
    <row r="13" spans="2:7" ht="18" customHeight="1">
      <c r="B13" s="133" t="s">
        <v>92</v>
      </c>
      <c r="C13" s="133" t="s">
        <v>214</v>
      </c>
      <c r="D13" s="133" t="s">
        <v>215</v>
      </c>
      <c r="E13" s="133" t="s">
        <v>84</v>
      </c>
      <c r="F13" s="132"/>
      <c r="G13" s="132"/>
    </row>
    <row r="14" spans="2:7" ht="18" customHeight="1">
      <c r="B14" s="132" t="s">
        <v>96</v>
      </c>
      <c r="C14" s="130">
        <f>SUM(純數字!AB4:AM4)</f>
        <v>198764.58299210749</v>
      </c>
      <c r="D14" s="130">
        <f>SUM(純數字!O4:V4)</f>
        <v>127308.96858900001</v>
      </c>
      <c r="E14" s="131">
        <f>(C14-D14)/D14</f>
        <v>0.56127714484744884</v>
      </c>
      <c r="F14" s="132"/>
      <c r="G14" s="132"/>
    </row>
    <row r="15" spans="2:7" ht="18" customHeight="1">
      <c r="B15" s="132" t="s">
        <v>3</v>
      </c>
      <c r="C15" s="130">
        <f>SUM(純數字!AB5:AM5)</f>
        <v>43170.700686744705</v>
      </c>
      <c r="D15" s="130">
        <f>SUM(純數字!O5:V5)</f>
        <v>28249.568662768237</v>
      </c>
      <c r="E15" s="131">
        <f>(C15-D15)/D15</f>
        <v>0.52818972926981012</v>
      </c>
      <c r="F15" s="132"/>
      <c r="G15" s="132"/>
    </row>
    <row r="16" spans="2:7" ht="18" customHeight="1">
      <c r="B16" s="132" t="s">
        <v>97</v>
      </c>
      <c r="C16" s="130">
        <f>SUM(純數字!AB6:AM6)</f>
        <v>21450.083750132922</v>
      </c>
      <c r="D16" s="130">
        <f>SUM(純數字!O6:V6)</f>
        <v>13095.777816768237</v>
      </c>
      <c r="E16" s="131">
        <f>(C16-D16)/D16</f>
        <v>0.63793888765183349</v>
      </c>
      <c r="F16" s="132"/>
      <c r="G16" s="132"/>
    </row>
    <row r="17" spans="2:7" ht="18" customHeight="1">
      <c r="B17" s="132" t="s">
        <v>105</v>
      </c>
      <c r="C17" s="130">
        <f>SUM(純數字!AB7:AM7)</f>
        <v>14437.394063001411</v>
      </c>
      <c r="D17" s="130">
        <f>SUM(純數字!O7:V7)</f>
        <v>9190.5807579999109</v>
      </c>
      <c r="E17" s="131">
        <f>(C17-D17)/D17</f>
        <v>0.57089028899881311</v>
      </c>
      <c r="F17" s="132"/>
      <c r="G17" s="132"/>
    </row>
    <row r="18" spans="2:7" ht="18" customHeight="1">
      <c r="B18" s="132" t="s">
        <v>122</v>
      </c>
      <c r="C18" s="130">
        <f>SUM(純數字!AB8:AM8)</f>
        <v>4.7699999999999996</v>
      </c>
      <c r="D18" s="130">
        <f>SUM(純數字!O8:V8)</f>
        <v>3.04</v>
      </c>
      <c r="E18" s="131">
        <f>(C18-D18)/D18</f>
        <v>0.56907894736842091</v>
      </c>
      <c r="F18" s="132"/>
      <c r="G18" s="132"/>
    </row>
    <row r="19" spans="2:7" ht="18" customHeight="1">
      <c r="B19" s="132"/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359C-8FBE-447B-BB21-BFD9D2F21BC9}">
  <dimension ref="B1:G19"/>
  <sheetViews>
    <sheetView zoomScale="89" zoomScaleNormal="115" workbookViewId="0">
      <selection activeCell="P10" sqref="P10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16384" width="8.88671875" style="14"/>
  </cols>
  <sheetData>
    <row r="1" spans="2:7" ht="15.6" customHeight="1"/>
    <row r="2" spans="2:7" ht="18" customHeight="1">
      <c r="B2" s="225" t="s">
        <v>206</v>
      </c>
      <c r="C2" s="225"/>
      <c r="D2" s="225"/>
      <c r="E2" s="225"/>
      <c r="F2" s="225"/>
      <c r="G2" s="225"/>
    </row>
    <row r="3" spans="2:7" ht="18" customHeight="1">
      <c r="B3" s="13"/>
      <c r="C3" s="13"/>
      <c r="D3" s="13"/>
      <c r="E3" s="13"/>
      <c r="F3" s="13"/>
      <c r="G3" s="127" t="s">
        <v>186</v>
      </c>
    </row>
    <row r="4" spans="2:7" ht="18" customHeight="1">
      <c r="B4" s="134" t="s">
        <v>207</v>
      </c>
      <c r="C4" s="13"/>
      <c r="D4" s="13"/>
      <c r="E4" s="13"/>
      <c r="F4" s="13"/>
      <c r="G4" s="127"/>
    </row>
    <row r="5" spans="2:7" ht="18" customHeight="1">
      <c r="B5" s="133" t="s">
        <v>92</v>
      </c>
      <c r="C5" s="133" t="s">
        <v>210</v>
      </c>
      <c r="D5" s="133" t="s">
        <v>209</v>
      </c>
      <c r="E5" s="133" t="s">
        <v>80</v>
      </c>
      <c r="F5" s="133" t="s">
        <v>211</v>
      </c>
      <c r="G5" s="133" t="s">
        <v>84</v>
      </c>
    </row>
    <row r="6" spans="2:7" ht="18" customHeight="1">
      <c r="B6" s="132" t="s">
        <v>96</v>
      </c>
      <c r="C6" s="130">
        <f>純數字!AH4</f>
        <v>15092.708366000001</v>
      </c>
      <c r="D6" s="130">
        <v>16254.676384</v>
      </c>
      <c r="E6" s="142">
        <f>(C6-D6)/D6</f>
        <v>-7.1485152367829485E-2</v>
      </c>
      <c r="F6" s="130">
        <f>純數字!U4</f>
        <v>15470.631192000001</v>
      </c>
      <c r="G6" s="131">
        <f>(C6-F6)/F6</f>
        <v>-2.4428403812989039E-2</v>
      </c>
    </row>
    <row r="7" spans="2:7" ht="18" customHeight="1">
      <c r="B7" s="132" t="s">
        <v>3</v>
      </c>
      <c r="C7" s="130">
        <f>純數字!AH5</f>
        <v>3575.9518948099999</v>
      </c>
      <c r="D7" s="130">
        <v>3654.4694887799997</v>
      </c>
      <c r="E7" s="142">
        <f>(C7-D7)/D7</f>
        <v>-2.1485360381599993E-2</v>
      </c>
      <c r="F7" s="130">
        <f>純數字!U5</f>
        <v>3513.0107502023302</v>
      </c>
      <c r="G7" s="131">
        <f>(C7-F7)/F7</f>
        <v>1.7916581839108981E-2</v>
      </c>
    </row>
    <row r="8" spans="2:7" ht="18" customHeight="1">
      <c r="B8" s="132" t="s">
        <v>97</v>
      </c>
      <c r="C8" s="130">
        <f>純數字!AH6</f>
        <v>1733.4937008099998</v>
      </c>
      <c r="D8" s="130">
        <v>1846.0868567800001</v>
      </c>
      <c r="E8" s="142">
        <f>(C8-D8)/D8</f>
        <v>-6.0990172567713621E-2</v>
      </c>
      <c r="F8" s="130">
        <f>純數字!U6</f>
        <v>1691.2152622023302</v>
      </c>
      <c r="G8" s="131">
        <f>(C8-F8)/F8</f>
        <v>2.4998851153113347E-2</v>
      </c>
    </row>
    <row r="9" spans="2:7" ht="18" customHeight="1">
      <c r="B9" s="132" t="s">
        <v>105</v>
      </c>
      <c r="C9" s="130">
        <f>純數字!AH7</f>
        <v>1203.2302750005272</v>
      </c>
      <c r="D9" s="130">
        <v>1240.9328649996</v>
      </c>
      <c r="E9" s="142">
        <f>(C9-D9)/D9</f>
        <v>-3.0382457474107612E-2</v>
      </c>
      <c r="F9" s="130">
        <f>純數字!U7</f>
        <v>1836.7955140000879</v>
      </c>
      <c r="G9" s="131">
        <f>(C9-F9)/F9</f>
        <v>-0.34492965284949539</v>
      </c>
    </row>
    <row r="10" spans="2:7" ht="18" customHeight="1">
      <c r="B10" s="132" t="s">
        <v>122</v>
      </c>
      <c r="C10" s="130">
        <f>純數字!AH8</f>
        <v>0.39</v>
      </c>
      <c r="D10" s="130">
        <v>0.41</v>
      </c>
      <c r="E10" s="142">
        <f>(C10-D10)/D10</f>
        <v>-4.878048780487796E-2</v>
      </c>
      <c r="F10" s="130">
        <f>純數字!U8</f>
        <v>0.61</v>
      </c>
      <c r="G10" s="131">
        <f>(C10-F10)/F10</f>
        <v>-0.36065573770491799</v>
      </c>
    </row>
    <row r="11" spans="2:7" ht="18" customHeight="1">
      <c r="B11" s="132"/>
      <c r="C11" s="132"/>
      <c r="D11" s="130"/>
      <c r="E11" s="132"/>
      <c r="F11" s="132"/>
      <c r="G11" s="132"/>
    </row>
    <row r="12" spans="2:7" ht="18" customHeight="1">
      <c r="B12" s="134" t="s">
        <v>208</v>
      </c>
      <c r="C12" s="132"/>
      <c r="D12" s="132"/>
      <c r="E12" s="132"/>
      <c r="F12" s="132"/>
      <c r="G12" s="132"/>
    </row>
    <row r="13" spans="2:7" ht="18" customHeight="1">
      <c r="B13" s="133" t="s">
        <v>92</v>
      </c>
      <c r="C13" s="133" t="s">
        <v>212</v>
      </c>
      <c r="D13" s="133" t="s">
        <v>213</v>
      </c>
      <c r="E13" s="133" t="s">
        <v>84</v>
      </c>
      <c r="F13" s="132"/>
      <c r="G13" s="132"/>
    </row>
    <row r="14" spans="2:7" ht="18" customHeight="1">
      <c r="B14" s="132" t="s">
        <v>96</v>
      </c>
      <c r="C14" s="130">
        <f>SUM(純數字!AB4:AT4)</f>
        <v>280652.87323741615</v>
      </c>
      <c r="D14" s="130">
        <f>SUM(純數字!O4:U4)</f>
        <v>111491.15825600001</v>
      </c>
      <c r="E14" s="131">
        <f>(C14-D14)/D14</f>
        <v>1.5172657422124549</v>
      </c>
      <c r="F14" s="132"/>
      <c r="G14" s="132"/>
    </row>
    <row r="15" spans="2:7" ht="18" customHeight="1">
      <c r="B15" s="132" t="s">
        <v>3</v>
      </c>
      <c r="C15" s="130">
        <f>SUM(純數字!AB5:AT5)</f>
        <v>62146.626217069621</v>
      </c>
      <c r="D15" s="130">
        <f>SUM(純數字!O5:U5)</f>
        <v>24686.902333944236</v>
      </c>
      <c r="E15" s="131">
        <f>(C15-D15)/D15</f>
        <v>1.5173926390764163</v>
      </c>
      <c r="F15" s="132"/>
      <c r="G15" s="132"/>
    </row>
    <row r="16" spans="2:7" ht="18" customHeight="1">
      <c r="B16" s="132" t="s">
        <v>97</v>
      </c>
      <c r="C16" s="130">
        <f>SUM(純數字!AB6:AT6)</f>
        <v>31415.822884188488</v>
      </c>
      <c r="D16" s="130">
        <f>SUM(純數字!O6:U6)</f>
        <v>11297.489608944235</v>
      </c>
      <c r="E16" s="131">
        <f>(C16-D16)/D16</f>
        <v>1.7807790908979055</v>
      </c>
      <c r="F16" s="132"/>
      <c r="G16" s="132"/>
    </row>
    <row r="17" spans="2:7" ht="18" customHeight="1">
      <c r="B17" s="132" t="s">
        <v>105</v>
      </c>
      <c r="C17" s="130">
        <f>SUM(純數字!AB7:AT7)</f>
        <v>21525.779096000955</v>
      </c>
      <c r="D17" s="130">
        <f>SUM(純數字!O7:U7)</f>
        <v>8037.3170920002249</v>
      </c>
      <c r="E17" s="131">
        <f>(C17-D17)/D17</f>
        <v>1.6782294202907819</v>
      </c>
      <c r="F17" s="132"/>
      <c r="G17" s="132"/>
    </row>
    <row r="18" spans="2:7" ht="18" customHeight="1">
      <c r="B18" s="132" t="s">
        <v>122</v>
      </c>
      <c r="C18" s="130">
        <f>SUM(純數字!AB8:AT8)</f>
        <v>7.1099999999999994</v>
      </c>
      <c r="D18" s="130">
        <f>SUM(純數字!O8:U8)</f>
        <v>2.66</v>
      </c>
      <c r="E18" s="131">
        <f>(C18-D18)/D18</f>
        <v>1.6729323308270674</v>
      </c>
      <c r="F18" s="132"/>
      <c r="G18" s="132"/>
    </row>
    <row r="19" spans="2:7" ht="18" customHeight="1">
      <c r="B19" s="132"/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CC09-FED2-4109-A895-D2C0B4B9855C}">
  <dimension ref="B1:O38"/>
  <sheetViews>
    <sheetView zoomScale="89" zoomScaleNormal="115" workbookViewId="0">
      <selection activeCell="E5" sqref="E5:E10"/>
    </sheetView>
  </sheetViews>
  <sheetFormatPr defaultRowHeight="15.6"/>
  <cols>
    <col min="1" max="1" width="3.5546875" style="14" customWidth="1"/>
    <col min="2" max="2" width="10.33203125" style="14" customWidth="1"/>
    <col min="3" max="7" width="12.21875" style="14" customWidth="1"/>
    <col min="8" max="8" width="3.44140625" style="14" customWidth="1"/>
    <col min="9" max="9" width="8.88671875" style="14"/>
    <col min="10" max="15" width="13.77734375" style="14" customWidth="1"/>
    <col min="16" max="16384" width="8.88671875" style="14"/>
  </cols>
  <sheetData>
    <row r="1" spans="2:15" ht="15.6" customHeight="1"/>
    <row r="2" spans="2:15" ht="18" customHeight="1">
      <c r="B2" s="225" t="s">
        <v>200</v>
      </c>
      <c r="C2" s="225"/>
      <c r="D2" s="225"/>
      <c r="E2" s="225"/>
      <c r="F2" s="225"/>
      <c r="G2" s="225"/>
    </row>
    <row r="3" spans="2:15" ht="18" customHeight="1">
      <c r="B3" s="13"/>
      <c r="C3" s="13"/>
      <c r="D3" s="13"/>
      <c r="E3" s="13"/>
      <c r="F3" s="13"/>
      <c r="G3" s="127" t="s">
        <v>186</v>
      </c>
      <c r="J3" s="14" t="s">
        <v>183</v>
      </c>
      <c r="O3" s="127"/>
    </row>
    <row r="4" spans="2:15" ht="18" customHeight="1">
      <c r="B4" s="13" t="s">
        <v>195</v>
      </c>
      <c r="C4" s="13"/>
      <c r="D4" s="13"/>
      <c r="E4" s="13"/>
      <c r="F4" s="13"/>
      <c r="G4" s="127"/>
      <c r="J4" s="14" t="s">
        <v>174</v>
      </c>
      <c r="O4" s="127" t="s">
        <v>181</v>
      </c>
    </row>
    <row r="5" spans="2:15" ht="18" customHeight="1">
      <c r="B5" s="133" t="s">
        <v>92</v>
      </c>
      <c r="C5" s="133" t="s">
        <v>201</v>
      </c>
      <c r="D5" s="133" t="s">
        <v>196</v>
      </c>
      <c r="E5" s="133" t="s">
        <v>80</v>
      </c>
      <c r="F5" s="133" t="s">
        <v>205</v>
      </c>
      <c r="G5" s="133" t="s">
        <v>84</v>
      </c>
      <c r="J5" s="133" t="s">
        <v>76</v>
      </c>
      <c r="K5" s="133" t="s">
        <v>180</v>
      </c>
      <c r="L5" s="133" t="s">
        <v>169</v>
      </c>
      <c r="M5" s="133" t="s">
        <v>80</v>
      </c>
      <c r="N5" s="133" t="s">
        <v>176</v>
      </c>
      <c r="O5" s="133" t="s">
        <v>84</v>
      </c>
    </row>
    <row r="6" spans="2:15" ht="18" customHeight="1">
      <c r="B6" s="132" t="s">
        <v>96</v>
      </c>
      <c r="C6" s="130">
        <f>純數字!AG4</f>
        <v>16254.676384</v>
      </c>
      <c r="D6" s="130">
        <v>15823.031730000001</v>
      </c>
      <c r="E6" s="142">
        <f>(C6-D6)/D6</f>
        <v>2.7279516426780222E-2</v>
      </c>
      <c r="F6" s="130">
        <f>純數字!T4</f>
        <v>16669.169867000001</v>
      </c>
      <c r="G6" s="131">
        <f>(C6-F6)/F6</f>
        <v>-2.4865874324106207E-2</v>
      </c>
      <c r="J6" s="132" t="s">
        <v>96</v>
      </c>
      <c r="K6" s="146">
        <v>153.9</v>
      </c>
      <c r="L6" s="146">
        <v>161.80000000000001</v>
      </c>
      <c r="M6" s="142">
        <f t="shared" ref="M6:M10" si="0">(K6-L6)/L6</f>
        <v>-4.8825710754017336E-2</v>
      </c>
      <c r="N6" s="146">
        <v>150.4</v>
      </c>
      <c r="O6" s="131">
        <f t="shared" ref="O6:O10" si="1">(K6-N6)/N6</f>
        <v>2.327127659574468E-2</v>
      </c>
    </row>
    <row r="7" spans="2:15" ht="18" customHeight="1">
      <c r="B7" s="132" t="s">
        <v>3</v>
      </c>
      <c r="C7" s="130">
        <f>純數字!AG5</f>
        <v>3654.4694887799997</v>
      </c>
      <c r="D7" s="130">
        <v>3496.4752810500004</v>
      </c>
      <c r="E7" s="142">
        <f>(C7-D7)/D7</f>
        <v>4.5186708050329254E-2</v>
      </c>
      <c r="F7" s="130">
        <f>純數字!T5</f>
        <v>3611.58500357804</v>
      </c>
      <c r="G7" s="131">
        <f>(C7-F7)/F7</f>
        <v>1.1874145329397907E-2</v>
      </c>
      <c r="J7" s="132" t="s">
        <v>3</v>
      </c>
      <c r="K7" s="146">
        <v>34.4</v>
      </c>
      <c r="L7" s="146">
        <v>34.9</v>
      </c>
      <c r="M7" s="142">
        <f t="shared" si="0"/>
        <v>-1.4326647564469915E-2</v>
      </c>
      <c r="N7" s="146">
        <v>34.799999999999997</v>
      </c>
      <c r="O7" s="131">
        <f t="shared" si="1"/>
        <v>-1.1494252873563178E-2</v>
      </c>
    </row>
    <row r="8" spans="2:15" ht="18" customHeight="1">
      <c r="B8" s="132" t="s">
        <v>97</v>
      </c>
      <c r="C8" s="130">
        <f>純數字!AG6</f>
        <v>1846.0868567800001</v>
      </c>
      <c r="D8" s="130">
        <v>1691.6897090499999</v>
      </c>
      <c r="E8" s="142">
        <f>(C8-D8)/D8</f>
        <v>9.1268006717795044E-2</v>
      </c>
      <c r="F8" s="130">
        <f>純數字!T6</f>
        <v>1761.2851465780402</v>
      </c>
      <c r="G8" s="131">
        <f>(C8-F8)/F8</f>
        <v>4.8147632634453943E-2</v>
      </c>
      <c r="J8" s="132" t="s">
        <v>177</v>
      </c>
      <c r="K8" s="146">
        <v>16.3</v>
      </c>
      <c r="L8" s="146">
        <v>17</v>
      </c>
      <c r="M8" s="142">
        <f t="shared" si="0"/>
        <v>-4.1176470588235252E-2</v>
      </c>
      <c r="N8" s="146">
        <v>15.9</v>
      </c>
      <c r="O8" s="131">
        <f t="shared" si="1"/>
        <v>2.5157232704402538E-2</v>
      </c>
    </row>
    <row r="9" spans="2:15" ht="18" customHeight="1">
      <c r="B9" s="132" t="s">
        <v>105</v>
      </c>
      <c r="C9" s="130">
        <f>純數字!AG7</f>
        <v>1240.9328649996</v>
      </c>
      <c r="D9" s="130">
        <v>1004.8259840001909</v>
      </c>
      <c r="E9" s="142">
        <f>(C9-D9)/D9</f>
        <v>0.23497290551690614</v>
      </c>
      <c r="F9" s="130">
        <f>純數字!T7</f>
        <v>1134.358932000355</v>
      </c>
      <c r="G9" s="131">
        <f>(C9-F9)/F9</f>
        <v>9.3950803394574636E-2</v>
      </c>
      <c r="J9" s="132" t="s">
        <v>88</v>
      </c>
      <c r="K9" s="146">
        <v>10.4</v>
      </c>
      <c r="L9" s="146">
        <v>12.4</v>
      </c>
      <c r="M9" s="142">
        <f t="shared" si="0"/>
        <v>-0.16129032258064516</v>
      </c>
      <c r="N9" s="146">
        <v>10.7</v>
      </c>
      <c r="O9" s="131">
        <f t="shared" si="1"/>
        <v>-2.8037383177569996E-2</v>
      </c>
    </row>
    <row r="10" spans="2:15" ht="18" customHeight="1">
      <c r="B10" s="132" t="s">
        <v>122</v>
      </c>
      <c r="C10" s="130">
        <f>純數字!AG8</f>
        <v>0.41</v>
      </c>
      <c r="D10" s="130">
        <v>0.34</v>
      </c>
      <c r="E10" s="142">
        <f>(C10-D10)/D10</f>
        <v>0.20588235294117632</v>
      </c>
      <c r="F10" s="130">
        <f>純數字!T8</f>
        <v>0.37</v>
      </c>
      <c r="G10" s="131">
        <f>(C10-F10)/F10</f>
        <v>0.10810810810810806</v>
      </c>
      <c r="J10" s="132" t="s">
        <v>122</v>
      </c>
      <c r="K10" s="132">
        <v>0.34</v>
      </c>
      <c r="L10" s="130">
        <v>0.41</v>
      </c>
      <c r="M10" s="142">
        <f t="shared" si="0"/>
        <v>-0.17073170731707307</v>
      </c>
      <c r="N10" s="130">
        <v>0.35</v>
      </c>
      <c r="O10" s="131">
        <f t="shared" si="1"/>
        <v>-2.8571428571428439E-2</v>
      </c>
    </row>
    <row r="11" spans="2:15" ht="18" customHeight="1">
      <c r="B11" s="132"/>
      <c r="C11" s="132"/>
      <c r="D11" s="130"/>
      <c r="E11" s="132"/>
      <c r="F11" s="132"/>
      <c r="G11" s="132"/>
    </row>
    <row r="12" spans="2:15" ht="18" customHeight="1">
      <c r="B12" s="134" t="s">
        <v>204</v>
      </c>
      <c r="C12" s="132"/>
      <c r="D12" s="132"/>
      <c r="E12" s="132"/>
      <c r="F12" s="132"/>
      <c r="G12" s="132"/>
      <c r="J12" s="14" t="s">
        <v>175</v>
      </c>
      <c r="O12" s="127" t="s">
        <v>181</v>
      </c>
    </row>
    <row r="13" spans="2:15" ht="18" customHeight="1">
      <c r="B13" s="133" t="s">
        <v>92</v>
      </c>
      <c r="C13" s="133" t="s">
        <v>198</v>
      </c>
      <c r="D13" s="133" t="s">
        <v>197</v>
      </c>
      <c r="E13" s="133" t="s">
        <v>84</v>
      </c>
      <c r="F13" s="132"/>
      <c r="G13" s="132"/>
      <c r="J13" s="133" t="s">
        <v>76</v>
      </c>
      <c r="K13" s="133" t="s">
        <v>178</v>
      </c>
      <c r="L13" s="133" t="s">
        <v>179</v>
      </c>
      <c r="M13" s="133" t="s">
        <v>84</v>
      </c>
    </row>
    <row r="14" spans="2:15" ht="18" customHeight="1">
      <c r="B14" s="132" t="s">
        <v>96</v>
      </c>
      <c r="C14" s="130">
        <f>SUM(純數字!AB4:AG4)</f>
        <v>95638.367530000003</v>
      </c>
      <c r="D14" s="130">
        <f>SUM(純數字!O4:T4)</f>
        <v>96020.527064000009</v>
      </c>
      <c r="E14" s="131">
        <f>(C14-D14)/D14</f>
        <v>-3.9799774661233344E-3</v>
      </c>
      <c r="F14" s="132"/>
      <c r="G14" s="132"/>
      <c r="J14" s="132" t="s">
        <v>77</v>
      </c>
      <c r="K14" s="146">
        <v>635.6</v>
      </c>
      <c r="L14" s="146">
        <v>633.20000000000005</v>
      </c>
      <c r="M14" s="131">
        <f t="shared" ref="M14:M18" si="2">(K14-L14)/L14</f>
        <v>3.7902716361338869E-3</v>
      </c>
      <c r="O14" s="137"/>
    </row>
    <row r="15" spans="2:15" ht="18" customHeight="1">
      <c r="B15" s="132" t="s">
        <v>3</v>
      </c>
      <c r="C15" s="130">
        <f>SUM(純數字!AB5:AG5)</f>
        <v>21143.275359859999</v>
      </c>
      <c r="D15" s="130">
        <f>SUM(純數字!O5:T5)</f>
        <v>21173.891583741904</v>
      </c>
      <c r="E15" s="131">
        <f>(C15-D15)/D15</f>
        <v>-1.4459422237437655E-3</v>
      </c>
      <c r="F15" s="132"/>
      <c r="G15" s="132"/>
      <c r="J15" s="132" t="s">
        <v>3</v>
      </c>
      <c r="K15" s="146">
        <v>139.9</v>
      </c>
      <c r="L15" s="146">
        <v>140.69999999999999</v>
      </c>
      <c r="M15" s="131">
        <f t="shared" si="2"/>
        <v>-5.6858564321249682E-3</v>
      </c>
      <c r="O15" s="138"/>
    </row>
    <row r="16" spans="2:15" ht="18" customHeight="1">
      <c r="B16" s="132" t="s">
        <v>97</v>
      </c>
      <c r="C16" s="130">
        <f>SUM(純數字!AB6:AG6)</f>
        <v>10318.042025860001</v>
      </c>
      <c r="D16" s="130">
        <f>SUM(純數字!O6:T6)</f>
        <v>9606.2743467419059</v>
      </c>
      <c r="E16" s="131">
        <f>(C16-D16)/D16</f>
        <v>7.4094040355978399E-2</v>
      </c>
      <c r="F16" s="132"/>
      <c r="G16" s="132"/>
      <c r="J16" s="132" t="s">
        <v>177</v>
      </c>
      <c r="K16" s="146">
        <v>67.8</v>
      </c>
      <c r="L16" s="146">
        <v>62.4</v>
      </c>
      <c r="M16" s="131">
        <f t="shared" si="2"/>
        <v>8.6538461538461522E-2</v>
      </c>
    </row>
    <row r="17" spans="2:15" ht="18" customHeight="1">
      <c r="B17" s="132" t="s">
        <v>105</v>
      </c>
      <c r="C17" s="130">
        <f>SUM(純數字!AB7:AG7)</f>
        <v>6944.3890549995685</v>
      </c>
      <c r="D17" s="130">
        <f>SUM(純數字!O7:T7)</f>
        <v>6200.5215780001372</v>
      </c>
      <c r="E17" s="131">
        <f>(C17-D17)/D17</f>
        <v>0.11996853291160579</v>
      </c>
      <c r="F17" s="132"/>
      <c r="G17" s="132"/>
      <c r="J17" s="132" t="s">
        <v>88</v>
      </c>
      <c r="K17" s="146">
        <v>47</v>
      </c>
      <c r="L17" s="146">
        <v>40.299999999999997</v>
      </c>
      <c r="M17" s="131">
        <f t="shared" si="2"/>
        <v>0.16625310173697277</v>
      </c>
    </row>
    <row r="18" spans="2:15" ht="18" customHeight="1">
      <c r="B18" s="132" t="s">
        <v>122</v>
      </c>
      <c r="C18" s="130">
        <f>SUM(純數字!AB8:AG8)</f>
        <v>2.3000000000000003</v>
      </c>
      <c r="D18" s="130">
        <f>SUM(純數字!O8:T8)</f>
        <v>2.0500000000000003</v>
      </c>
      <c r="E18" s="131">
        <f>(C18-D18)/D18</f>
        <v>0.12195121951219511</v>
      </c>
      <c r="F18" s="132"/>
      <c r="G18" s="132"/>
      <c r="J18" s="132" t="s">
        <v>122</v>
      </c>
      <c r="K18" s="132">
        <v>1.55</v>
      </c>
      <c r="L18" s="130">
        <v>1.33</v>
      </c>
      <c r="M18" s="131">
        <f t="shared" si="2"/>
        <v>0.16541353383458643</v>
      </c>
    </row>
    <row r="19" spans="2:15" ht="18" customHeight="1">
      <c r="B19" s="132"/>
    </row>
    <row r="20" spans="2:15" ht="18" customHeight="1">
      <c r="B20" s="134" t="s">
        <v>203</v>
      </c>
      <c r="C20" s="132"/>
      <c r="D20" s="132"/>
      <c r="E20" s="132"/>
    </row>
    <row r="21" spans="2:15" ht="18" customHeight="1">
      <c r="B21" s="133" t="s">
        <v>92</v>
      </c>
      <c r="C21" s="133" t="s">
        <v>202</v>
      </c>
      <c r="D21" s="133" t="s">
        <v>199</v>
      </c>
      <c r="E21" s="133" t="s">
        <v>84</v>
      </c>
    </row>
    <row r="22" spans="2:15" ht="18" customHeight="1">
      <c r="B22" s="132" t="s">
        <v>96</v>
      </c>
      <c r="C22" s="130">
        <f>SUM(純數字!AE4:AG4)</f>
        <v>47471.014518999997</v>
      </c>
      <c r="D22" s="130">
        <f>SUM(純數字!R4:T4)</f>
        <v>47743.895575000002</v>
      </c>
      <c r="E22" s="131">
        <f t="shared" ref="E22:E26" si="3">(C22-D22)/D22</f>
        <v>-5.7155171925873088E-3</v>
      </c>
    </row>
    <row r="23" spans="2:15">
      <c r="B23" s="132" t="s">
        <v>3</v>
      </c>
      <c r="C23" s="130">
        <f>SUM(純數字!AE5:AG5)</f>
        <v>10588.91983191</v>
      </c>
      <c r="D23" s="130">
        <f>SUM(純數字!R5:T5)</f>
        <v>10586.412479067469</v>
      </c>
      <c r="E23" s="131">
        <f t="shared" si="3"/>
        <v>2.3684632045924492E-4</v>
      </c>
      <c r="F23" s="130"/>
      <c r="G23" s="131"/>
    </row>
    <row r="24" spans="2:15">
      <c r="B24" s="132" t="s">
        <v>97</v>
      </c>
      <c r="C24" s="130">
        <f>SUM(純數字!AE6:AG6)</f>
        <v>5168.48405791</v>
      </c>
      <c r="D24" s="130">
        <f>SUM(純數字!R6:T6)</f>
        <v>4950.9755210674693</v>
      </c>
      <c r="E24" s="131">
        <f t="shared" si="3"/>
        <v>4.3932460566000565E-2</v>
      </c>
      <c r="F24" s="130"/>
      <c r="G24" s="131"/>
    </row>
    <row r="25" spans="2:15">
      <c r="B25" s="132" t="s">
        <v>105</v>
      </c>
      <c r="C25" s="130">
        <f>SUM(純數字!AE7:AG7)</f>
        <v>3289.1905719993479</v>
      </c>
      <c r="D25" s="130">
        <f>SUM(純數字!R7:T7)</f>
        <v>3232.6016029972507</v>
      </c>
      <c r="E25" s="131">
        <f t="shared" si="3"/>
        <v>1.7505704677504404E-2</v>
      </c>
      <c r="F25" s="130"/>
      <c r="G25" s="131"/>
    </row>
    <row r="26" spans="2:15">
      <c r="B26" s="132" t="s">
        <v>122</v>
      </c>
      <c r="C26" s="130">
        <f>SUM(純數字!AE8:AG8)</f>
        <v>1.0900000000000001</v>
      </c>
      <c r="D26" s="130">
        <f>SUM(純數字!R8:T8)</f>
        <v>1.0699999999999998</v>
      </c>
      <c r="E26" s="131">
        <f t="shared" si="3"/>
        <v>1.8691588785046957E-2</v>
      </c>
      <c r="F26" s="130"/>
      <c r="G26" s="131"/>
    </row>
    <row r="27" spans="2:15">
      <c r="B27" s="132"/>
    </row>
    <row r="32" spans="2:15">
      <c r="J32" s="14" t="s">
        <v>185</v>
      </c>
      <c r="O32" s="127" t="s">
        <v>181</v>
      </c>
    </row>
    <row r="33" spans="10:15">
      <c r="J33" s="133" t="s">
        <v>76</v>
      </c>
      <c r="K33" s="133" t="s">
        <v>178</v>
      </c>
      <c r="L33" s="133" t="s">
        <v>179</v>
      </c>
      <c r="M33" s="133" t="s">
        <v>84</v>
      </c>
    </row>
    <row r="34" spans="10:15">
      <c r="J34" s="132" t="s">
        <v>77</v>
      </c>
      <c r="K34" s="146">
        <v>748.6</v>
      </c>
      <c r="L34" s="146">
        <v>728.7</v>
      </c>
      <c r="M34" s="131">
        <f t="shared" ref="M34:M38" si="4">(K34-L34)/L34</f>
        <v>2.7308906271442262E-2</v>
      </c>
      <c r="O34" s="137"/>
    </row>
    <row r="35" spans="10:15">
      <c r="J35" s="132" t="s">
        <v>3</v>
      </c>
      <c r="K35" s="146">
        <v>302.5</v>
      </c>
      <c r="L35" s="146">
        <v>118.11</v>
      </c>
      <c r="M35" s="131">
        <f t="shared" si="4"/>
        <v>1.5611717890102446</v>
      </c>
      <c r="O35" s="138"/>
    </row>
    <row r="36" spans="10:15">
      <c r="J36" s="132" t="s">
        <v>177</v>
      </c>
      <c r="K36" s="146">
        <v>168.9</v>
      </c>
      <c r="L36" s="146">
        <v>46.85</v>
      </c>
      <c r="M36" s="131">
        <f t="shared" si="4"/>
        <v>2.6051227321237995</v>
      </c>
    </row>
    <row r="37" spans="10:15">
      <c r="J37" s="132" t="s">
        <v>88</v>
      </c>
      <c r="K37" s="146">
        <v>42.99</v>
      </c>
      <c r="L37" s="146">
        <v>38.71</v>
      </c>
      <c r="M37" s="131">
        <f t="shared" si="4"/>
        <v>0.11056574528545599</v>
      </c>
    </row>
    <row r="38" spans="10:15">
      <c r="J38" s="132" t="s">
        <v>122</v>
      </c>
      <c r="K38" s="132">
        <v>1.19</v>
      </c>
      <c r="L38" s="132">
        <v>1.07</v>
      </c>
      <c r="M38" s="131">
        <f t="shared" si="4"/>
        <v>0.11214953271028026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EED5-A0C2-4511-B435-77BF3B6A1B0D}">
  <dimension ref="B1:O38"/>
  <sheetViews>
    <sheetView zoomScale="89" zoomScaleNormal="115" workbookViewId="0">
      <selection activeCell="G22" sqref="G22"/>
    </sheetView>
  </sheetViews>
  <sheetFormatPr defaultRowHeight="15.6"/>
  <cols>
    <col min="1" max="1" width="8.88671875" style="14"/>
    <col min="2" max="2" width="10.33203125" style="14" customWidth="1"/>
    <col min="3" max="7" width="12.21875" style="14" customWidth="1"/>
    <col min="8" max="9" width="8.88671875" style="14"/>
    <col min="10" max="15" width="13.77734375" style="14" customWidth="1"/>
    <col min="16" max="16384" width="8.88671875" style="14"/>
  </cols>
  <sheetData>
    <row r="1" spans="2:15" ht="21" customHeight="1"/>
    <row r="2" spans="2:15" ht="18" customHeight="1">
      <c r="B2" s="225" t="s">
        <v>194</v>
      </c>
      <c r="C2" s="225"/>
      <c r="D2" s="225"/>
      <c r="E2" s="225"/>
      <c r="F2" s="225"/>
      <c r="G2" s="225"/>
    </row>
    <row r="3" spans="2:15" ht="18" customHeight="1">
      <c r="B3" s="13"/>
      <c r="C3" s="13"/>
      <c r="D3" s="13"/>
      <c r="E3" s="13"/>
      <c r="F3" s="13"/>
      <c r="G3" s="145" t="s">
        <v>186</v>
      </c>
      <c r="J3" s="14" t="s">
        <v>183</v>
      </c>
      <c r="O3" s="127"/>
    </row>
    <row r="4" spans="2:15" ht="18" customHeight="1">
      <c r="B4" s="134" t="s">
        <v>192</v>
      </c>
      <c r="C4" s="13"/>
      <c r="D4" s="13"/>
      <c r="E4" s="13"/>
      <c r="F4" s="13"/>
      <c r="G4" s="127"/>
      <c r="J4" s="14" t="s">
        <v>174</v>
      </c>
      <c r="O4" s="127" t="s">
        <v>181</v>
      </c>
    </row>
    <row r="5" spans="2:15" ht="18" customHeight="1">
      <c r="B5" s="133" t="s">
        <v>92</v>
      </c>
      <c r="C5" s="133" t="s">
        <v>188</v>
      </c>
      <c r="D5" s="133" t="s">
        <v>187</v>
      </c>
      <c r="E5" s="133" t="s">
        <v>80</v>
      </c>
      <c r="F5" s="133" t="s">
        <v>189</v>
      </c>
      <c r="G5" s="133" t="s">
        <v>84</v>
      </c>
      <c r="J5" s="133" t="s">
        <v>76</v>
      </c>
      <c r="K5" s="133" t="s">
        <v>180</v>
      </c>
      <c r="L5" s="133" t="s">
        <v>169</v>
      </c>
      <c r="M5" s="133" t="s">
        <v>80</v>
      </c>
      <c r="N5" s="133" t="s">
        <v>176</v>
      </c>
      <c r="O5" s="133" t="s">
        <v>84</v>
      </c>
    </row>
    <row r="6" spans="2:15" ht="18" customHeight="1">
      <c r="B6" s="132" t="s">
        <v>96</v>
      </c>
      <c r="C6" s="130">
        <f>純數字!AF4</f>
        <v>15823.031730000001</v>
      </c>
      <c r="D6" s="130">
        <v>15393.306404999999</v>
      </c>
      <c r="E6" s="142">
        <f>(C6-D6)/D6</f>
        <v>2.7916375708627445E-2</v>
      </c>
      <c r="F6" s="130">
        <f>純數字!S4</f>
        <v>16031.947122</v>
      </c>
      <c r="G6" s="131">
        <f>(C6-F6)/F6</f>
        <v>-1.3031192681100647E-2</v>
      </c>
      <c r="J6" s="132" t="s">
        <v>96</v>
      </c>
      <c r="K6" s="146">
        <v>153.9</v>
      </c>
      <c r="L6" s="146">
        <v>161.80000000000001</v>
      </c>
      <c r="M6" s="142">
        <f t="shared" ref="M6:M10" si="0">(K6-L6)/L6</f>
        <v>-4.8825710754017336E-2</v>
      </c>
      <c r="N6" s="146">
        <v>150.4</v>
      </c>
      <c r="O6" s="131">
        <f t="shared" ref="O6:O10" si="1">(K6-N6)/N6</f>
        <v>2.327127659574468E-2</v>
      </c>
    </row>
    <row r="7" spans="2:15" ht="18" customHeight="1">
      <c r="B7" s="132" t="s">
        <v>3</v>
      </c>
      <c r="C7" s="130">
        <f>純數字!AF5</f>
        <v>3496.4752810500004</v>
      </c>
      <c r="D7" s="130">
        <v>3437.97506208</v>
      </c>
      <c r="E7" s="142">
        <f>(C7-D7)/D7</f>
        <v>1.7015893924084275E-2</v>
      </c>
      <c r="F7" s="130">
        <f>純數字!S5</f>
        <v>3490.7400825319337</v>
      </c>
      <c r="G7" s="131">
        <f>(C7-F7)/F7</f>
        <v>1.6429749515772536E-3</v>
      </c>
      <c r="J7" s="132" t="s">
        <v>3</v>
      </c>
      <c r="K7" s="146">
        <v>34.4</v>
      </c>
      <c r="L7" s="146">
        <v>34.9</v>
      </c>
      <c r="M7" s="142">
        <f t="shared" si="0"/>
        <v>-1.4326647564469915E-2</v>
      </c>
      <c r="N7" s="146">
        <v>34.799999999999997</v>
      </c>
      <c r="O7" s="131">
        <f t="shared" si="1"/>
        <v>-1.1494252873563178E-2</v>
      </c>
    </row>
    <row r="8" spans="2:15" ht="18" customHeight="1">
      <c r="B8" s="132" t="s">
        <v>97</v>
      </c>
      <c r="C8" s="130">
        <f>純數字!AF6</f>
        <v>1691.6897090499999</v>
      </c>
      <c r="D8" s="130">
        <v>1630.7074920799998</v>
      </c>
      <c r="E8" s="142">
        <f>(C8-D8)/D8</f>
        <v>3.7396171456976657E-2</v>
      </c>
      <c r="F8" s="130">
        <f>純數字!S6</f>
        <v>1601.455290531934</v>
      </c>
      <c r="G8" s="131">
        <f>(C8-F8)/F8</f>
        <v>5.6345262369512643E-2</v>
      </c>
      <c r="J8" s="132" t="s">
        <v>177</v>
      </c>
      <c r="K8" s="146">
        <v>16.3</v>
      </c>
      <c r="L8" s="146">
        <v>17</v>
      </c>
      <c r="M8" s="142">
        <f t="shared" si="0"/>
        <v>-4.1176470588235252E-2</v>
      </c>
      <c r="N8" s="146">
        <v>15.9</v>
      </c>
      <c r="O8" s="131">
        <f t="shared" si="1"/>
        <v>2.5157232704402538E-2</v>
      </c>
    </row>
    <row r="9" spans="2:15" ht="18" customHeight="1">
      <c r="B9" s="132" t="s">
        <v>105</v>
      </c>
      <c r="C9" s="130">
        <f>純數字!AF7</f>
        <v>1004.8259840001909</v>
      </c>
      <c r="D9" s="130">
        <v>1043.431722999557</v>
      </c>
      <c r="E9" s="142">
        <f>(C9-D9)/D9</f>
        <v>-3.699881664359024E-2</v>
      </c>
      <c r="F9" s="130">
        <f>純數字!S7</f>
        <v>1031.297651999975</v>
      </c>
      <c r="G9" s="131">
        <f>(C9-F9)/F9</f>
        <v>-2.5668310160939511E-2</v>
      </c>
      <c r="J9" s="132" t="s">
        <v>88</v>
      </c>
      <c r="K9" s="146">
        <v>10.4</v>
      </c>
      <c r="L9" s="146">
        <v>12.4</v>
      </c>
      <c r="M9" s="142">
        <f t="shared" si="0"/>
        <v>-0.16129032258064516</v>
      </c>
      <c r="N9" s="146">
        <v>10.7</v>
      </c>
      <c r="O9" s="131">
        <f t="shared" si="1"/>
        <v>-2.8037383177569996E-2</v>
      </c>
    </row>
    <row r="10" spans="2:15" ht="18" customHeight="1">
      <c r="B10" s="132" t="s">
        <v>122</v>
      </c>
      <c r="C10" s="130">
        <f>純數字!AF8</f>
        <v>0.34</v>
      </c>
      <c r="D10" s="130">
        <v>0.34</v>
      </c>
      <c r="E10" s="142">
        <f>(C10-D10)/D10</f>
        <v>0</v>
      </c>
      <c r="F10" s="130">
        <f>純數字!S8</f>
        <v>0.35</v>
      </c>
      <c r="G10" s="131">
        <f>(C10-F10)/F10</f>
        <v>-2.8571428571428439E-2</v>
      </c>
      <c r="J10" s="132" t="s">
        <v>122</v>
      </c>
      <c r="K10" s="132">
        <v>0.34</v>
      </c>
      <c r="L10" s="130">
        <v>0.41</v>
      </c>
      <c r="M10" s="142">
        <f t="shared" si="0"/>
        <v>-0.17073170731707307</v>
      </c>
      <c r="N10" s="130">
        <v>0.35</v>
      </c>
      <c r="O10" s="131">
        <f t="shared" si="1"/>
        <v>-2.8571428571428439E-2</v>
      </c>
    </row>
    <row r="11" spans="2:15" ht="18" customHeight="1">
      <c r="B11" s="132"/>
      <c r="C11" s="132"/>
      <c r="D11" s="130"/>
      <c r="E11" s="132"/>
      <c r="F11" s="132"/>
      <c r="G11" s="132"/>
    </row>
    <row r="12" spans="2:15" ht="18" customHeight="1">
      <c r="B12" s="134" t="s">
        <v>193</v>
      </c>
      <c r="C12" s="132"/>
      <c r="D12" s="132"/>
      <c r="E12" s="132"/>
      <c r="F12" s="132"/>
      <c r="G12" s="132"/>
      <c r="J12" s="14" t="s">
        <v>175</v>
      </c>
      <c r="O12" s="127" t="s">
        <v>181</v>
      </c>
    </row>
    <row r="13" spans="2:15" ht="18" customHeight="1">
      <c r="B13" s="133" t="s">
        <v>92</v>
      </c>
      <c r="C13" s="133" t="s">
        <v>190</v>
      </c>
      <c r="D13" s="133" t="s">
        <v>191</v>
      </c>
      <c r="E13" s="133" t="s">
        <v>84</v>
      </c>
      <c r="F13" s="132"/>
      <c r="G13" s="132"/>
      <c r="J13" s="133" t="s">
        <v>76</v>
      </c>
      <c r="K13" s="133" t="s">
        <v>178</v>
      </c>
      <c r="L13" s="133" t="s">
        <v>179</v>
      </c>
      <c r="M13" s="133" t="s">
        <v>84</v>
      </c>
    </row>
    <row r="14" spans="2:15" ht="18" customHeight="1">
      <c r="B14" s="132" t="s">
        <v>96</v>
      </c>
      <c r="C14" s="130">
        <f>SUM(純數字!AB4:AF4)</f>
        <v>79383.691145999997</v>
      </c>
      <c r="D14" s="130">
        <f>SUM(純數字!O4:S4)</f>
        <v>79351.357197000005</v>
      </c>
      <c r="E14" s="131">
        <f>(C14-D14)/D14</f>
        <v>4.0747821010445181E-4</v>
      </c>
      <c r="F14" s="132"/>
      <c r="G14" s="132"/>
      <c r="J14" s="132" t="s">
        <v>77</v>
      </c>
      <c r="K14" s="146">
        <v>635.6</v>
      </c>
      <c r="L14" s="146">
        <v>633.20000000000005</v>
      </c>
      <c r="M14" s="131">
        <f t="shared" ref="M14:M18" si="2">(K14-L14)/L14</f>
        <v>3.7902716361338869E-3</v>
      </c>
      <c r="O14" s="137"/>
    </row>
    <row r="15" spans="2:15" ht="18" customHeight="1">
      <c r="B15" s="132" t="s">
        <v>3</v>
      </c>
      <c r="C15" s="130">
        <f>SUM(純數字!AB5:AF5)</f>
        <v>17488.80587108</v>
      </c>
      <c r="D15" s="130">
        <f>SUM(純數字!O5:S5)</f>
        <v>17562.306580163866</v>
      </c>
      <c r="E15" s="131">
        <f>(C15-D15)/D15</f>
        <v>-4.1851398475689543E-3</v>
      </c>
      <c r="F15" s="132"/>
      <c r="G15" s="132"/>
      <c r="J15" s="132" t="s">
        <v>3</v>
      </c>
      <c r="K15" s="146">
        <v>139.9</v>
      </c>
      <c r="L15" s="146">
        <v>140.69999999999999</v>
      </c>
      <c r="M15" s="131">
        <f t="shared" si="2"/>
        <v>-5.6858564321249682E-3</v>
      </c>
      <c r="O15" s="138"/>
    </row>
    <row r="16" spans="2:15" ht="18" customHeight="1">
      <c r="B16" s="132" t="s">
        <v>97</v>
      </c>
      <c r="C16" s="130">
        <f>SUM(純數字!AB6:AF6)</f>
        <v>8471.9551690799999</v>
      </c>
      <c r="D16" s="130">
        <f>SUM(純數字!O6:S6)</f>
        <v>7844.9892001638664</v>
      </c>
      <c r="E16" s="131">
        <f>(C16-D16)/D16</f>
        <v>7.9919290252564973E-2</v>
      </c>
      <c r="F16" s="132"/>
      <c r="G16" s="132"/>
      <c r="J16" s="132" t="s">
        <v>177</v>
      </c>
      <c r="K16" s="146">
        <v>67.8</v>
      </c>
      <c r="L16" s="146">
        <v>62.4</v>
      </c>
      <c r="M16" s="131">
        <f t="shared" si="2"/>
        <v>8.6538461538461522E-2</v>
      </c>
    </row>
    <row r="17" spans="2:15" ht="18" customHeight="1">
      <c r="B17" s="132" t="s">
        <v>105</v>
      </c>
      <c r="C17" s="130">
        <f>SUM(純數字!AB7:AF7)</f>
        <v>5703.456189999969</v>
      </c>
      <c r="D17" s="130">
        <f>SUM(純數字!O7:S7)</f>
        <v>5066.1626459997824</v>
      </c>
      <c r="E17" s="131">
        <f>(C17-D17)/D17</f>
        <v>0.12579413424545113</v>
      </c>
      <c r="F17" s="132"/>
      <c r="G17" s="132"/>
      <c r="J17" s="132" t="s">
        <v>88</v>
      </c>
      <c r="K17" s="146">
        <v>47</v>
      </c>
      <c r="L17" s="146">
        <v>40.299999999999997</v>
      </c>
      <c r="M17" s="131">
        <f t="shared" si="2"/>
        <v>0.16625310173697277</v>
      </c>
    </row>
    <row r="18" spans="2:15" ht="18" customHeight="1">
      <c r="B18" s="132" t="s">
        <v>122</v>
      </c>
      <c r="C18" s="130">
        <f>SUM(純數字!AB8:AF8)</f>
        <v>1.8900000000000001</v>
      </c>
      <c r="D18" s="130">
        <f>SUM(純數字!O8:S8)</f>
        <v>1.6800000000000002</v>
      </c>
      <c r="E18" s="131">
        <f>(C18-D18)/D18</f>
        <v>0.12499999999999997</v>
      </c>
      <c r="F18" s="132"/>
      <c r="G18" s="132"/>
      <c r="J18" s="132" t="s">
        <v>122</v>
      </c>
      <c r="K18" s="132">
        <v>1.55</v>
      </c>
      <c r="L18" s="130">
        <v>1.33</v>
      </c>
      <c r="M18" s="131">
        <f t="shared" si="2"/>
        <v>0.16541353383458643</v>
      </c>
    </row>
    <row r="19" spans="2:15" ht="18" customHeight="1">
      <c r="B19" s="132"/>
    </row>
    <row r="20" spans="2:15" ht="18" customHeight="1"/>
    <row r="21" spans="2:15" ht="18" customHeight="1"/>
    <row r="22" spans="2:15" ht="18" customHeight="1"/>
    <row r="23" spans="2:15">
      <c r="B23" s="132"/>
      <c r="C23" s="130"/>
      <c r="D23" s="130"/>
      <c r="E23" s="131"/>
      <c r="F23" s="130"/>
      <c r="G23" s="131"/>
    </row>
    <row r="24" spans="2:15">
      <c r="B24" s="132"/>
      <c r="C24" s="130"/>
      <c r="D24" s="130"/>
      <c r="E24" s="131"/>
      <c r="F24" s="130"/>
      <c r="G24" s="131"/>
    </row>
    <row r="25" spans="2:15">
      <c r="B25" s="132"/>
      <c r="C25" s="130"/>
      <c r="D25" s="130"/>
      <c r="E25" s="131"/>
      <c r="F25" s="130"/>
      <c r="G25" s="131"/>
    </row>
    <row r="26" spans="2:15">
      <c r="B26" s="132"/>
      <c r="C26" s="130"/>
      <c r="D26" s="130"/>
      <c r="E26" s="131"/>
      <c r="F26" s="130"/>
      <c r="G26" s="131"/>
    </row>
    <row r="32" spans="2:15">
      <c r="J32" s="14" t="s">
        <v>185</v>
      </c>
      <c r="O32" s="127" t="s">
        <v>181</v>
      </c>
    </row>
    <row r="33" spans="10:15">
      <c r="J33" s="133" t="s">
        <v>76</v>
      </c>
      <c r="K33" s="133" t="s">
        <v>178</v>
      </c>
      <c r="L33" s="133" t="s">
        <v>179</v>
      </c>
      <c r="M33" s="133" t="s">
        <v>84</v>
      </c>
    </row>
    <row r="34" spans="10:15">
      <c r="J34" s="132" t="s">
        <v>77</v>
      </c>
      <c r="K34" s="146">
        <v>748.6</v>
      </c>
      <c r="L34" s="146">
        <v>728.7</v>
      </c>
      <c r="M34" s="131">
        <f t="shared" ref="M34:M38" si="3">(K34-L34)/L34</f>
        <v>2.7308906271442262E-2</v>
      </c>
      <c r="O34" s="137"/>
    </row>
    <row r="35" spans="10:15">
      <c r="J35" s="132" t="s">
        <v>3</v>
      </c>
      <c r="K35" s="146">
        <v>302.5</v>
      </c>
      <c r="L35" s="146">
        <v>118.11</v>
      </c>
      <c r="M35" s="131">
        <f t="shared" si="3"/>
        <v>1.5611717890102446</v>
      </c>
      <c r="O35" s="138"/>
    </row>
    <row r="36" spans="10:15">
      <c r="J36" s="132" t="s">
        <v>177</v>
      </c>
      <c r="K36" s="146">
        <v>168.9</v>
      </c>
      <c r="L36" s="146">
        <v>46.85</v>
      </c>
      <c r="M36" s="131">
        <f t="shared" si="3"/>
        <v>2.6051227321237995</v>
      </c>
    </row>
    <row r="37" spans="10:15">
      <c r="J37" s="132" t="s">
        <v>88</v>
      </c>
      <c r="K37" s="146">
        <v>42.99</v>
      </c>
      <c r="L37" s="146">
        <v>38.71</v>
      </c>
      <c r="M37" s="131">
        <f t="shared" si="3"/>
        <v>0.11056574528545599</v>
      </c>
    </row>
    <row r="38" spans="10:15">
      <c r="J38" s="132" t="s">
        <v>122</v>
      </c>
      <c r="K38" s="132">
        <v>1.19</v>
      </c>
      <c r="L38" s="132">
        <v>1.07</v>
      </c>
      <c r="M38" s="131">
        <f t="shared" si="3"/>
        <v>0.11214953271028026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46DC-AE66-40A5-9C27-F83B34DBAB42}">
  <dimension ref="B1:O38"/>
  <sheetViews>
    <sheetView topLeftCell="A3" zoomScale="89" zoomScaleNormal="115" workbookViewId="0">
      <selection activeCell="C13" sqref="C13:C18"/>
    </sheetView>
  </sheetViews>
  <sheetFormatPr defaultRowHeight="15.6"/>
  <cols>
    <col min="1" max="1" width="8.88671875" style="14"/>
    <col min="2" max="2" width="10.33203125" style="14" customWidth="1"/>
    <col min="3" max="7" width="12.21875" style="14" customWidth="1"/>
    <col min="8" max="9" width="8.88671875" style="14"/>
    <col min="10" max="15" width="13.77734375" style="14" customWidth="1"/>
    <col min="16" max="16384" width="8.88671875" style="14"/>
  </cols>
  <sheetData>
    <row r="1" spans="2:15" ht="21" customHeight="1"/>
    <row r="2" spans="2:15" ht="18" customHeight="1">
      <c r="B2" s="225" t="s">
        <v>182</v>
      </c>
      <c r="C2" s="225"/>
      <c r="D2" s="225"/>
      <c r="E2" s="225"/>
      <c r="F2" s="225"/>
      <c r="G2" s="225"/>
    </row>
    <row r="3" spans="2:15" ht="18" customHeight="1">
      <c r="B3" s="13"/>
      <c r="C3" s="13"/>
      <c r="D3" s="13"/>
      <c r="E3" s="13"/>
      <c r="F3" s="13"/>
      <c r="G3" s="145" t="s">
        <v>186</v>
      </c>
      <c r="J3" s="14" t="s">
        <v>183</v>
      </c>
      <c r="O3" s="127"/>
    </row>
    <row r="4" spans="2:15" ht="18" customHeight="1">
      <c r="B4" s="13" t="s">
        <v>172</v>
      </c>
      <c r="C4" s="13"/>
      <c r="D4" s="13"/>
      <c r="E4" s="13"/>
      <c r="F4" s="13"/>
      <c r="G4" s="127"/>
      <c r="J4" s="14" t="s">
        <v>174</v>
      </c>
      <c r="O4" s="127" t="s">
        <v>181</v>
      </c>
    </row>
    <row r="5" spans="2:15" ht="18" customHeight="1">
      <c r="B5" s="133" t="s">
        <v>92</v>
      </c>
      <c r="C5" s="133" t="s">
        <v>180</v>
      </c>
      <c r="D5" s="133" t="s">
        <v>169</v>
      </c>
      <c r="E5" s="133" t="s">
        <v>80</v>
      </c>
      <c r="F5" s="133" t="s">
        <v>184</v>
      </c>
      <c r="G5" s="133" t="s">
        <v>84</v>
      </c>
      <c r="J5" s="133" t="s">
        <v>76</v>
      </c>
      <c r="K5" s="133" t="s">
        <v>180</v>
      </c>
      <c r="L5" s="133" t="s">
        <v>169</v>
      </c>
      <c r="M5" s="133" t="s">
        <v>80</v>
      </c>
      <c r="N5" s="133" t="s">
        <v>176</v>
      </c>
      <c r="O5" s="133" t="s">
        <v>84</v>
      </c>
    </row>
    <row r="6" spans="2:15" ht="18" customHeight="1">
      <c r="B6" s="132" t="s">
        <v>96</v>
      </c>
      <c r="C6" s="130">
        <f>純數字!AE4</f>
        <v>15393.306404999999</v>
      </c>
      <c r="D6" s="130">
        <v>16177.374327</v>
      </c>
      <c r="E6" s="142">
        <f>(C6-D6)/D6</f>
        <v>-4.8466945633531683E-2</v>
      </c>
      <c r="F6" s="130">
        <f>純數字!R4</f>
        <v>15042.778586</v>
      </c>
      <c r="G6" s="131">
        <f>(C6-F6)/F6</f>
        <v>2.3302065971125035E-2</v>
      </c>
      <c r="J6" s="132" t="s">
        <v>96</v>
      </c>
      <c r="K6" s="146">
        <v>153.9</v>
      </c>
      <c r="L6" s="146">
        <v>161.80000000000001</v>
      </c>
      <c r="M6" s="142">
        <f t="shared" ref="M6:M10" si="0">(K6-L6)/L6</f>
        <v>-4.8825710754017336E-2</v>
      </c>
      <c r="N6" s="146">
        <v>150.4</v>
      </c>
      <c r="O6" s="131">
        <f t="shared" ref="O6:O10" si="1">(K6-N6)/N6</f>
        <v>2.327127659574468E-2</v>
      </c>
    </row>
    <row r="7" spans="2:15" ht="18" customHeight="1">
      <c r="B7" s="132" t="s">
        <v>3</v>
      </c>
      <c r="C7" s="130">
        <f>純數字!AE5</f>
        <v>3437.97506208</v>
      </c>
      <c r="D7" s="130">
        <v>3494.1166316700001</v>
      </c>
      <c r="E7" s="142">
        <f>(C7-D7)/D7</f>
        <v>-1.6067457245457592E-2</v>
      </c>
      <c r="F7" s="130">
        <f>純數字!R5</f>
        <v>3484.0873929574946</v>
      </c>
      <c r="G7" s="131">
        <f>(C7-F7)/F7</f>
        <v>-1.3235124632838702E-2</v>
      </c>
      <c r="J7" s="132" t="s">
        <v>3</v>
      </c>
      <c r="K7" s="146">
        <v>34.4</v>
      </c>
      <c r="L7" s="146">
        <v>34.9</v>
      </c>
      <c r="M7" s="142">
        <f t="shared" si="0"/>
        <v>-1.4326647564469915E-2</v>
      </c>
      <c r="N7" s="146">
        <v>34.799999999999997</v>
      </c>
      <c r="O7" s="131">
        <f t="shared" si="1"/>
        <v>-1.1494252873563178E-2</v>
      </c>
    </row>
    <row r="8" spans="2:15" ht="18" customHeight="1">
      <c r="B8" s="132" t="s">
        <v>97</v>
      </c>
      <c r="C8" s="130">
        <f>純數字!AE6</f>
        <v>1630.7074920799998</v>
      </c>
      <c r="D8" s="130">
        <v>1699.30144967</v>
      </c>
      <c r="E8" s="142">
        <f>(C8-D8)/D8</f>
        <v>-4.03659736789614E-2</v>
      </c>
      <c r="F8" s="130">
        <f>純數字!R6</f>
        <v>1588.2350839574949</v>
      </c>
      <c r="G8" s="131">
        <f>(C8-F8)/F8</f>
        <v>2.6741890134219952E-2</v>
      </c>
      <c r="J8" s="132" t="s">
        <v>177</v>
      </c>
      <c r="K8" s="146">
        <v>16.3</v>
      </c>
      <c r="L8" s="146">
        <v>17</v>
      </c>
      <c r="M8" s="142">
        <f t="shared" si="0"/>
        <v>-4.1176470588235252E-2</v>
      </c>
      <c r="N8" s="146">
        <v>15.9</v>
      </c>
      <c r="O8" s="131">
        <f t="shared" si="1"/>
        <v>2.5157232704402538E-2</v>
      </c>
    </row>
    <row r="9" spans="2:15" ht="18" customHeight="1">
      <c r="B9" s="132" t="s">
        <v>105</v>
      </c>
      <c r="C9" s="130">
        <f>純數字!AE7</f>
        <v>1043.431722999557</v>
      </c>
      <c r="D9" s="130">
        <v>1238.066867000663</v>
      </c>
      <c r="E9" s="142">
        <f>(C9-D9)/D9</f>
        <v>-0.15720891107653057</v>
      </c>
      <c r="F9" s="130">
        <f>純數字!R7</f>
        <v>1066.9450189969209</v>
      </c>
      <c r="G9" s="131">
        <f>(C9-F9)/F9</f>
        <v>-2.2037964073790543E-2</v>
      </c>
      <c r="J9" s="132" t="s">
        <v>88</v>
      </c>
      <c r="K9" s="146">
        <v>10.4</v>
      </c>
      <c r="L9" s="146">
        <v>12.4</v>
      </c>
      <c r="M9" s="142">
        <f t="shared" si="0"/>
        <v>-0.16129032258064516</v>
      </c>
      <c r="N9" s="146">
        <v>10.7</v>
      </c>
      <c r="O9" s="131">
        <f t="shared" si="1"/>
        <v>-2.8037383177569996E-2</v>
      </c>
    </row>
    <row r="10" spans="2:15" ht="18" customHeight="1">
      <c r="B10" s="132" t="s">
        <v>122</v>
      </c>
      <c r="C10" s="130">
        <f>純數字!AE8</f>
        <v>0.34</v>
      </c>
      <c r="D10" s="130">
        <v>0.41</v>
      </c>
      <c r="E10" s="142">
        <f>(C10-D10)/D10</f>
        <v>-0.17073170731707307</v>
      </c>
      <c r="F10" s="132">
        <v>0.35</v>
      </c>
      <c r="G10" s="131">
        <f>(C10-F10)/F10</f>
        <v>-2.8571428571428439E-2</v>
      </c>
      <c r="J10" s="132" t="s">
        <v>122</v>
      </c>
      <c r="K10" s="132">
        <v>0.34</v>
      </c>
      <c r="L10" s="130">
        <v>0.41</v>
      </c>
      <c r="M10" s="142">
        <f t="shared" si="0"/>
        <v>-0.17073170731707307</v>
      </c>
      <c r="N10" s="130">
        <v>0.35</v>
      </c>
      <c r="O10" s="131">
        <f t="shared" si="1"/>
        <v>-2.8571428571428439E-2</v>
      </c>
    </row>
    <row r="11" spans="2:15" ht="18" customHeight="1">
      <c r="B11" s="132"/>
      <c r="C11" s="132"/>
      <c r="D11" s="130"/>
      <c r="E11" s="132"/>
      <c r="F11" s="132"/>
      <c r="G11" s="132"/>
    </row>
    <row r="12" spans="2:15" ht="18" customHeight="1">
      <c r="B12" s="13" t="s">
        <v>173</v>
      </c>
      <c r="C12" s="132"/>
      <c r="D12" s="132"/>
      <c r="E12" s="132"/>
      <c r="F12" s="132"/>
      <c r="G12" s="132"/>
      <c r="J12" s="14" t="s">
        <v>175</v>
      </c>
      <c r="O12" s="127" t="s">
        <v>181</v>
      </c>
    </row>
    <row r="13" spans="2:15" ht="18" customHeight="1">
      <c r="B13" s="133" t="s">
        <v>92</v>
      </c>
      <c r="C13" s="133" t="s">
        <v>170</v>
      </c>
      <c r="D13" s="133" t="s">
        <v>171</v>
      </c>
      <c r="E13" s="133" t="s">
        <v>84</v>
      </c>
      <c r="F13" s="132"/>
      <c r="G13" s="132"/>
      <c r="J13" s="133" t="s">
        <v>76</v>
      </c>
      <c r="K13" s="133" t="s">
        <v>178</v>
      </c>
      <c r="L13" s="133" t="s">
        <v>179</v>
      </c>
      <c r="M13" s="133" t="s">
        <v>84</v>
      </c>
    </row>
    <row r="14" spans="2:15" ht="18" customHeight="1">
      <c r="B14" s="132" t="s">
        <v>96</v>
      </c>
      <c r="C14" s="130">
        <f>SUM(純數字!AB4:AE4)</f>
        <v>63560.659415999995</v>
      </c>
      <c r="D14" s="130">
        <f>SUM(純數字!O4:R4)</f>
        <v>63319.410075</v>
      </c>
      <c r="E14" s="131">
        <f>(C14-D14)/D14</f>
        <v>3.810037723254881E-3</v>
      </c>
      <c r="F14" s="132"/>
      <c r="G14" s="132"/>
      <c r="J14" s="132" t="s">
        <v>77</v>
      </c>
      <c r="K14" s="146">
        <v>635.6</v>
      </c>
      <c r="L14" s="146">
        <v>633.20000000000005</v>
      </c>
      <c r="M14" s="131">
        <f t="shared" ref="M14:M18" si="2">(K14-L14)/L14</f>
        <v>3.7902716361338869E-3</v>
      </c>
      <c r="O14" s="137"/>
    </row>
    <row r="15" spans="2:15" ht="18" customHeight="1">
      <c r="B15" s="132" t="s">
        <v>3</v>
      </c>
      <c r="C15" s="130">
        <f>SUM(純數字!AB5:AE5)</f>
        <v>13992.33059003</v>
      </c>
      <c r="D15" s="130">
        <f>SUM(純數字!O5:R5)</f>
        <v>14071.566497631931</v>
      </c>
      <c r="E15" s="131">
        <f>(C15-D15)/D15</f>
        <v>-5.6309230116821408E-3</v>
      </c>
      <c r="F15" s="132"/>
      <c r="G15" s="132"/>
      <c r="J15" s="132" t="s">
        <v>3</v>
      </c>
      <c r="K15" s="146">
        <v>139.9</v>
      </c>
      <c r="L15" s="146">
        <v>140.69999999999999</v>
      </c>
      <c r="M15" s="131">
        <f t="shared" si="2"/>
        <v>-5.6858564321249682E-3</v>
      </c>
      <c r="O15" s="138"/>
    </row>
    <row r="16" spans="2:15" ht="18" customHeight="1">
      <c r="B16" s="132" t="s">
        <v>97</v>
      </c>
      <c r="C16" s="130">
        <f>SUM(純數字!AB6:AE6)</f>
        <v>6780.2654600299993</v>
      </c>
      <c r="D16" s="130">
        <f>SUM(純數字!O6:R6)</f>
        <v>6243.5339096319321</v>
      </c>
      <c r="E16" s="131">
        <f>(C16-D16)/D16</f>
        <v>8.5965986277426729E-2</v>
      </c>
      <c r="F16" s="132"/>
      <c r="G16" s="132"/>
      <c r="J16" s="132" t="s">
        <v>177</v>
      </c>
      <c r="K16" s="146">
        <v>67.8</v>
      </c>
      <c r="L16" s="146">
        <v>62.4</v>
      </c>
      <c r="M16" s="131">
        <f t="shared" si="2"/>
        <v>8.6538461538461522E-2</v>
      </c>
    </row>
    <row r="17" spans="2:15" ht="18" customHeight="1">
      <c r="B17" s="132" t="s">
        <v>105</v>
      </c>
      <c r="C17" s="130">
        <f>SUM(純數字!AB7:AE7)</f>
        <v>4698.6302059997779</v>
      </c>
      <c r="D17" s="130">
        <f>SUM(純數字!O7:R7)</f>
        <v>4034.8649939998077</v>
      </c>
      <c r="E17" s="131">
        <f>(C17-D17)/D17</f>
        <v>0.16450741548652714</v>
      </c>
      <c r="F17" s="132"/>
      <c r="G17" s="132"/>
      <c r="J17" s="132" t="s">
        <v>88</v>
      </c>
      <c r="K17" s="146">
        <v>47</v>
      </c>
      <c r="L17" s="146">
        <v>40.299999999999997</v>
      </c>
      <c r="M17" s="131">
        <f t="shared" si="2"/>
        <v>0.16625310173697277</v>
      </c>
    </row>
    <row r="18" spans="2:15" ht="18" customHeight="1">
      <c r="B18" s="132" t="s">
        <v>122</v>
      </c>
      <c r="C18" s="130">
        <f>SUM(純數字!AB8:AE8)</f>
        <v>1.55</v>
      </c>
      <c r="D18" s="130">
        <f>SUM(純數字!O8:R8)</f>
        <v>1.33</v>
      </c>
      <c r="E18" s="131">
        <f>(C18-D18)/D18</f>
        <v>0.16541353383458643</v>
      </c>
      <c r="F18" s="132"/>
      <c r="G18" s="132"/>
      <c r="J18" s="132" t="s">
        <v>122</v>
      </c>
      <c r="K18" s="132">
        <v>1.55</v>
      </c>
      <c r="L18" s="130">
        <v>1.33</v>
      </c>
      <c r="M18" s="131">
        <f t="shared" si="2"/>
        <v>0.16541353383458643</v>
      </c>
    </row>
    <row r="19" spans="2:15" ht="18" customHeight="1">
      <c r="B19" s="132"/>
    </row>
    <row r="20" spans="2:15" ht="18" customHeight="1"/>
    <row r="21" spans="2:15" ht="18" customHeight="1"/>
    <row r="22" spans="2:15" ht="18" customHeight="1"/>
    <row r="23" spans="2:15">
      <c r="B23" s="132"/>
      <c r="C23" s="130"/>
      <c r="D23" s="130"/>
      <c r="E23" s="131"/>
      <c r="F23" s="130"/>
      <c r="G23" s="131"/>
    </row>
    <row r="24" spans="2:15">
      <c r="B24" s="132"/>
      <c r="C24" s="130"/>
      <c r="D24" s="130"/>
      <c r="E24" s="131"/>
      <c r="F24" s="130"/>
      <c r="G24" s="131"/>
    </row>
    <row r="25" spans="2:15">
      <c r="B25" s="132"/>
      <c r="C25" s="130"/>
      <c r="D25" s="130"/>
      <c r="E25" s="131"/>
      <c r="F25" s="130"/>
      <c r="G25" s="131"/>
    </row>
    <row r="26" spans="2:15">
      <c r="B26" s="132"/>
      <c r="C26" s="130"/>
      <c r="D26" s="130"/>
      <c r="E26" s="131"/>
      <c r="F26" s="130"/>
      <c r="G26" s="131"/>
    </row>
    <row r="32" spans="2:15">
      <c r="J32" s="14" t="s">
        <v>185</v>
      </c>
      <c r="O32" s="127" t="s">
        <v>181</v>
      </c>
    </row>
    <row r="33" spans="10:15">
      <c r="J33" s="133" t="s">
        <v>76</v>
      </c>
      <c r="K33" s="133" t="s">
        <v>178</v>
      </c>
      <c r="L33" s="133" t="s">
        <v>179</v>
      </c>
      <c r="M33" s="133" t="s">
        <v>84</v>
      </c>
    </row>
    <row r="34" spans="10:15">
      <c r="J34" s="132" t="s">
        <v>77</v>
      </c>
      <c r="K34" s="146">
        <v>748.6</v>
      </c>
      <c r="L34" s="146">
        <v>728.7</v>
      </c>
      <c r="M34" s="131">
        <f t="shared" ref="M34:M38" si="3">(K34-L34)/L34</f>
        <v>2.7308906271442262E-2</v>
      </c>
      <c r="O34" s="137"/>
    </row>
    <row r="35" spans="10:15">
      <c r="J35" s="132" t="s">
        <v>3</v>
      </c>
      <c r="K35" s="146">
        <v>302.5</v>
      </c>
      <c r="L35" s="146">
        <v>118.11</v>
      </c>
      <c r="M35" s="131">
        <f t="shared" si="3"/>
        <v>1.5611717890102446</v>
      </c>
      <c r="O35" s="138"/>
    </row>
    <row r="36" spans="10:15">
      <c r="J36" s="132" t="s">
        <v>177</v>
      </c>
      <c r="K36" s="146">
        <v>168.9</v>
      </c>
      <c r="L36" s="146">
        <v>46.85</v>
      </c>
      <c r="M36" s="131">
        <f t="shared" si="3"/>
        <v>2.6051227321237995</v>
      </c>
    </row>
    <row r="37" spans="10:15">
      <c r="J37" s="132" t="s">
        <v>88</v>
      </c>
      <c r="K37" s="146">
        <v>42.99</v>
      </c>
      <c r="L37" s="146">
        <v>38.71</v>
      </c>
      <c r="M37" s="131">
        <f t="shared" si="3"/>
        <v>0.11056574528545599</v>
      </c>
    </row>
    <row r="38" spans="10:15">
      <c r="J38" s="132" t="s">
        <v>122</v>
      </c>
      <c r="K38" s="132">
        <v>1.19</v>
      </c>
      <c r="L38" s="132">
        <v>1.07</v>
      </c>
      <c r="M38" s="131">
        <f t="shared" si="3"/>
        <v>0.11214953271028026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5AC7-353E-48B7-AF7C-704BF9A381AD}">
  <dimension ref="B1:O26"/>
  <sheetViews>
    <sheetView zoomScale="89" zoomScaleNormal="115" workbookViewId="0">
      <selection activeCell="C5" sqref="C5:C10"/>
    </sheetView>
  </sheetViews>
  <sheetFormatPr defaultRowHeight="15.6"/>
  <cols>
    <col min="1" max="1" width="8.88671875" style="14"/>
    <col min="2" max="2" width="10.33203125" style="14" customWidth="1"/>
    <col min="3" max="7" width="12.21875" style="14" customWidth="1"/>
    <col min="8" max="9" width="8.88671875" style="14"/>
    <col min="10" max="10" width="12.21875" style="14" customWidth="1"/>
    <col min="11" max="15" width="16" style="14" customWidth="1"/>
    <col min="16" max="16384" width="8.88671875" style="14"/>
  </cols>
  <sheetData>
    <row r="1" spans="2:15" ht="21" customHeight="1"/>
    <row r="2" spans="2:15" ht="18" customHeight="1">
      <c r="B2" s="225" t="s">
        <v>158</v>
      </c>
      <c r="C2" s="225"/>
      <c r="D2" s="225"/>
      <c r="E2" s="225"/>
      <c r="F2" s="225"/>
      <c r="G2" s="225"/>
    </row>
    <row r="3" spans="2:15" ht="18" customHeight="1">
      <c r="B3" s="13"/>
      <c r="C3" s="13"/>
      <c r="D3" s="13"/>
      <c r="E3" s="13"/>
      <c r="F3" s="13"/>
      <c r="G3" s="127" t="s">
        <v>90</v>
      </c>
    </row>
    <row r="4" spans="2:15" ht="18" customHeight="1">
      <c r="B4" s="13" t="s">
        <v>91</v>
      </c>
      <c r="C4" s="13"/>
      <c r="D4" s="13"/>
      <c r="E4" s="13"/>
      <c r="F4" s="13"/>
      <c r="G4" s="127"/>
    </row>
    <row r="5" spans="2:15" ht="18" customHeight="1">
      <c r="B5" s="133" t="s">
        <v>92</v>
      </c>
      <c r="C5" s="133" t="s">
        <v>160</v>
      </c>
      <c r="D5" s="133" t="s">
        <v>162</v>
      </c>
      <c r="E5" s="133" t="s">
        <v>80</v>
      </c>
      <c r="F5" s="133" t="s">
        <v>161</v>
      </c>
      <c r="G5" s="133" t="s">
        <v>84</v>
      </c>
    </row>
    <row r="6" spans="2:15" ht="18" customHeight="1">
      <c r="B6" s="132" t="s">
        <v>96</v>
      </c>
      <c r="C6" s="130">
        <f>純數字!AD4</f>
        <v>16177.374327</v>
      </c>
      <c r="D6" s="130">
        <v>15528.062521</v>
      </c>
      <c r="E6" s="142">
        <f>(C6-D6)/D6</f>
        <v>4.1815378133741851E-2</v>
      </c>
      <c r="F6" s="130">
        <f>純數字!Q4</f>
        <v>16070.134168</v>
      </c>
      <c r="G6" s="131">
        <f>(C6-F6)/F6</f>
        <v>6.6732584730713265E-3</v>
      </c>
      <c r="J6" s="14">
        <v>159.1</v>
      </c>
      <c r="K6" s="14">
        <v>158.19999999999999</v>
      </c>
      <c r="L6" s="131">
        <f>(J6-K6)/K6</f>
        <v>5.6890012642225396E-3</v>
      </c>
      <c r="M6" s="14">
        <v>143.5</v>
      </c>
      <c r="N6" s="131">
        <f>(J6-M6)/M6</f>
        <v>0.10871080139372818</v>
      </c>
    </row>
    <row r="7" spans="2:15" ht="18" customHeight="1">
      <c r="B7" s="132" t="s">
        <v>3</v>
      </c>
      <c r="C7" s="130">
        <f>純數字!AD5</f>
        <v>3494.1166316700001</v>
      </c>
      <c r="D7" s="130">
        <v>3469.5615505199999</v>
      </c>
      <c r="E7" s="142">
        <f>(C7-D7)/D7</f>
        <v>7.0772865079508441E-3</v>
      </c>
      <c r="F7" s="130">
        <f>純數字!Q5</f>
        <v>3580.5579168399317</v>
      </c>
      <c r="G7" s="131">
        <f>(C7-F7)/F7</f>
        <v>-2.4141848052054854E-2</v>
      </c>
    </row>
    <row r="8" spans="2:15" ht="18" customHeight="1">
      <c r="B8" s="132" t="s">
        <v>97</v>
      </c>
      <c r="C8" s="130">
        <f>純數字!AD6</f>
        <v>1699.30144967</v>
      </c>
      <c r="D8" s="130">
        <v>1668.8928625199999</v>
      </c>
      <c r="E8" s="142">
        <f>(C8-D8)/D8</f>
        <v>1.8220814429084249E-2</v>
      </c>
      <c r="F8" s="130">
        <f>純數字!Q6</f>
        <v>1640.1840468399319</v>
      </c>
      <c r="G8" s="131">
        <f>(C8-F8)/F8</f>
        <v>3.6043151952347648E-2</v>
      </c>
    </row>
    <row r="9" spans="2:15" ht="18" customHeight="1">
      <c r="B9" s="132" t="s">
        <v>105</v>
      </c>
      <c r="C9" s="130">
        <f>純數字!AD7</f>
        <v>1238.066867000663</v>
      </c>
      <c r="D9" s="130">
        <v>1254.865457999329</v>
      </c>
      <c r="E9" s="142">
        <f>(C9-D9)/D9</f>
        <v>-1.3386766598427613E-2</v>
      </c>
      <c r="F9" s="130">
        <f>純數字!Q7</f>
        <v>1030.1014340028462</v>
      </c>
      <c r="G9" s="131">
        <f>(C9-F9)/F9</f>
        <v>0.20188830549404149</v>
      </c>
    </row>
    <row r="10" spans="2:15" ht="18" customHeight="1">
      <c r="B10" s="132" t="s">
        <v>122</v>
      </c>
      <c r="C10" s="132">
        <v>0.41</v>
      </c>
      <c r="D10" s="130">
        <v>0.42</v>
      </c>
      <c r="E10" s="142">
        <f>(C10-D10)/D10</f>
        <v>-2.3809523809523832E-2</v>
      </c>
      <c r="F10" s="132">
        <v>0.34</v>
      </c>
      <c r="G10" s="131">
        <f>(C10-F10)/F10</f>
        <v>0.20588235294117632</v>
      </c>
    </row>
    <row r="11" spans="2:15" ht="18" customHeight="1">
      <c r="B11" s="132"/>
      <c r="C11" s="132"/>
      <c r="D11" s="130"/>
      <c r="E11" s="132"/>
      <c r="F11" s="132"/>
      <c r="G11" s="132"/>
    </row>
    <row r="12" spans="2:15" ht="18" customHeight="1">
      <c r="B12" s="134" t="s">
        <v>159</v>
      </c>
      <c r="C12" s="132"/>
      <c r="D12" s="132"/>
      <c r="E12" s="132"/>
      <c r="F12" s="132"/>
      <c r="G12" s="132"/>
    </row>
    <row r="13" spans="2:15" ht="18" customHeight="1">
      <c r="B13" s="133" t="s">
        <v>92</v>
      </c>
      <c r="C13" s="133" t="s">
        <v>164</v>
      </c>
      <c r="D13" s="133" t="s">
        <v>163</v>
      </c>
      <c r="E13" s="133" t="s">
        <v>84</v>
      </c>
      <c r="F13" s="132"/>
      <c r="G13" s="132"/>
      <c r="K13" s="136" t="s">
        <v>116</v>
      </c>
      <c r="L13" s="136" t="s">
        <v>117</v>
      </c>
      <c r="M13" s="136" t="s">
        <v>80</v>
      </c>
      <c r="N13" s="136" t="s">
        <v>118</v>
      </c>
      <c r="O13" s="136" t="s">
        <v>84</v>
      </c>
    </row>
    <row r="14" spans="2:15" ht="18" customHeight="1">
      <c r="B14" s="132" t="s">
        <v>96</v>
      </c>
      <c r="C14" s="130">
        <f>SUM(純數字!AB4:AD4)</f>
        <v>48167.353010999999</v>
      </c>
      <c r="D14" s="130">
        <f>SUM(純數字!O4:Q4)</f>
        <v>48276.631488999999</v>
      </c>
      <c r="E14" s="131">
        <f>(C14-D14)/D14</f>
        <v>-2.2635895386549426E-3</v>
      </c>
      <c r="F14" s="132"/>
      <c r="G14" s="132"/>
      <c r="J14" s="139" t="s">
        <v>119</v>
      </c>
      <c r="K14" s="14">
        <v>34.4619</v>
      </c>
      <c r="L14" s="14">
        <v>35.6267</v>
      </c>
      <c r="M14" s="137">
        <v>-3.2693298606132078E-2</v>
      </c>
      <c r="N14" s="14">
        <v>28.348800000000001</v>
      </c>
      <c r="O14" s="137">
        <v>0.21563766483735858</v>
      </c>
    </row>
    <row r="15" spans="2:15" ht="18" customHeight="1">
      <c r="B15" s="132" t="s">
        <v>3</v>
      </c>
      <c r="C15" s="130">
        <f>SUM(純數字!AB5:AD5)</f>
        <v>10554.35552795</v>
      </c>
      <c r="D15" s="130">
        <f>SUM(純數字!O5:Q5)</f>
        <v>10587.479104674438</v>
      </c>
      <c r="E15" s="131">
        <f>(C15-D15)/D15</f>
        <v>-3.1285612370005708E-3</v>
      </c>
      <c r="F15" s="132"/>
      <c r="G15" s="132"/>
      <c r="J15" s="140" t="s">
        <v>120</v>
      </c>
      <c r="K15" s="14">
        <v>34.5</v>
      </c>
      <c r="L15" s="14">
        <v>35.6</v>
      </c>
      <c r="M15" s="138">
        <f>(K15-L15)/L15</f>
        <v>-3.0898876404494419E-2</v>
      </c>
      <c r="N15" s="14">
        <v>28.3</v>
      </c>
      <c r="O15" s="138">
        <f>(K15-N15)/N15</f>
        <v>0.21908127208480563</v>
      </c>
    </row>
    <row r="16" spans="2:15" ht="18" customHeight="1">
      <c r="B16" s="132" t="s">
        <v>97</v>
      </c>
      <c r="C16" s="130">
        <f>SUM(純數字!AB6:AD6)</f>
        <v>5149.5579679499997</v>
      </c>
      <c r="D16" s="130">
        <f>SUM(純數字!O6:Q6)</f>
        <v>4655.2988256744375</v>
      </c>
      <c r="E16" s="131">
        <f>(C16-D16)/D16</f>
        <v>0.10617130302133855</v>
      </c>
      <c r="F16" s="132"/>
      <c r="G16" s="132"/>
    </row>
    <row r="17" spans="2:7" ht="18" customHeight="1">
      <c r="B17" s="132" t="s">
        <v>105</v>
      </c>
      <c r="C17" s="130">
        <f>SUM(純數字!AB7:AD7)</f>
        <v>3655.1984830002207</v>
      </c>
      <c r="D17" s="130">
        <f>SUM(純數字!O7:Q7)</f>
        <v>2967.9199750028865</v>
      </c>
      <c r="E17" s="131">
        <f>(C17-D17)/D17</f>
        <v>0.23156908332633386</v>
      </c>
      <c r="F17" s="132"/>
      <c r="G17" s="132"/>
    </row>
    <row r="18" spans="2:7" ht="18" customHeight="1">
      <c r="B18" s="132" t="s">
        <v>122</v>
      </c>
      <c r="C18" s="130">
        <f>SUM(純數字!AB8:AD8)</f>
        <v>1.21</v>
      </c>
      <c r="D18" s="130">
        <f>SUM(純數字!O8:Q8)</f>
        <v>0.98</v>
      </c>
      <c r="E18" s="131">
        <f>(C18-D18)/D18</f>
        <v>0.23469387755102039</v>
      </c>
      <c r="F18" s="132"/>
      <c r="G18" s="132"/>
    </row>
    <row r="19" spans="2:7" ht="18" customHeight="1">
      <c r="B19" s="132"/>
    </row>
    <row r="20" spans="2:7" ht="18" customHeight="1">
      <c r="B20" s="144" t="s">
        <v>168</v>
      </c>
    </row>
    <row r="21" spans="2:7" ht="18" customHeight="1">
      <c r="B21" s="133" t="s">
        <v>92</v>
      </c>
      <c r="C21" s="133" t="s">
        <v>165</v>
      </c>
      <c r="D21" s="133" t="s">
        <v>166</v>
      </c>
      <c r="E21" s="133" t="s">
        <v>87</v>
      </c>
      <c r="F21" s="133" t="s">
        <v>167</v>
      </c>
      <c r="G21" s="133" t="s">
        <v>84</v>
      </c>
    </row>
    <row r="22" spans="2:7" ht="18" customHeight="1">
      <c r="B22" s="132" t="s">
        <v>96</v>
      </c>
      <c r="C22" s="130">
        <f>SUM(純數字!AB4:AD4)</f>
        <v>48167.353010999999</v>
      </c>
      <c r="D22" s="130">
        <f>SUM(純數字!X4:Z4)</f>
        <v>56151.860945</v>
      </c>
      <c r="E22" s="131">
        <f>(C22-D22)/D22</f>
        <v>-0.14219489433877749</v>
      </c>
      <c r="F22" s="130">
        <v>48276.631488999999</v>
      </c>
      <c r="G22" s="131">
        <f>(C22-F22)/F22</f>
        <v>-2.2635895386549426E-3</v>
      </c>
    </row>
    <row r="23" spans="2:7">
      <c r="B23" s="132" t="s">
        <v>3</v>
      </c>
      <c r="C23" s="130">
        <f>SUM(純數字!AB5:AD5)</f>
        <v>10554.35552795</v>
      </c>
      <c r="D23" s="130">
        <f>SUM(純數字!X5:Z5)</f>
        <v>10824.329724719842</v>
      </c>
      <c r="E23" s="131">
        <f>(C23-D23)/D23</f>
        <v>-2.4941423962104067E-2</v>
      </c>
      <c r="F23" s="130">
        <v>10587.479104674438</v>
      </c>
      <c r="G23" s="131">
        <f>(C23-F23)/F23</f>
        <v>-3.1285612370005708E-3</v>
      </c>
    </row>
    <row r="24" spans="2:7">
      <c r="B24" s="132" t="s">
        <v>97</v>
      </c>
      <c r="C24" s="130">
        <f>SUM(純數字!AB6:AD6)</f>
        <v>5149.5579679499997</v>
      </c>
      <c r="D24" s="130">
        <f>SUM(純數字!X6:Z6)</f>
        <v>5468.2935727198437</v>
      </c>
      <c r="E24" s="131">
        <f>(C24-D24)/D24</f>
        <v>-5.8287946784705988E-2</v>
      </c>
      <c r="F24" s="130">
        <v>4655.2988256744375</v>
      </c>
      <c r="G24" s="131">
        <f>(C24-F24)/F24</f>
        <v>0.10617130302133855</v>
      </c>
    </row>
    <row r="25" spans="2:7">
      <c r="B25" s="132" t="s">
        <v>105</v>
      </c>
      <c r="C25" s="130">
        <f>SUM(純數字!AB7:AD7)</f>
        <v>3655.1984830002207</v>
      </c>
      <c r="D25" s="130">
        <f>SUM(純數字!X7:Z7)</f>
        <v>3451.7697039998893</v>
      </c>
      <c r="E25" s="131">
        <f>(C25-D25)/D25</f>
        <v>5.8934632505928584E-2</v>
      </c>
      <c r="F25" s="130">
        <v>2967.9199750028865</v>
      </c>
      <c r="G25" s="131">
        <f>(C25-F25)/F25</f>
        <v>0.23156908332633386</v>
      </c>
    </row>
    <row r="26" spans="2:7">
      <c r="B26" s="132" t="s">
        <v>122</v>
      </c>
      <c r="C26" s="130">
        <f>SUM(純數字!AB8:AD8)</f>
        <v>1.21</v>
      </c>
      <c r="D26" s="130">
        <f>SUM(純數字!X8:Z8)</f>
        <v>1.1400000000000001</v>
      </c>
      <c r="E26" s="131">
        <f>(C26-D26)/D26</f>
        <v>6.1403508771929675E-2</v>
      </c>
      <c r="F26" s="130">
        <v>0.98</v>
      </c>
      <c r="G26" s="131">
        <f>(C26-F26)/F26</f>
        <v>0.23469387755102039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E323-2BF1-4483-8088-201A06A45584}">
  <dimension ref="B1:P19"/>
  <sheetViews>
    <sheetView workbookViewId="0">
      <selection activeCell="G24" sqref="G24"/>
    </sheetView>
  </sheetViews>
  <sheetFormatPr defaultRowHeight="15.6"/>
  <cols>
    <col min="1" max="1" width="8.88671875" style="14"/>
    <col min="2" max="2" width="10.33203125" style="14" customWidth="1"/>
    <col min="3" max="7" width="12.21875" style="14" customWidth="1"/>
    <col min="8" max="10" width="12.88671875" style="14" customWidth="1"/>
    <col min="11" max="11" width="11.109375" style="13" bestFit="1" customWidth="1"/>
    <col min="12" max="13" width="14.21875" style="13" bestFit="1" customWidth="1"/>
    <col min="14" max="14" width="10" style="13" bestFit="1" customWidth="1"/>
    <col min="15" max="15" width="14.21875" style="13" bestFit="1" customWidth="1"/>
    <col min="16" max="16" width="11.21875" style="13" bestFit="1" customWidth="1"/>
    <col min="17" max="16384" width="8.88671875" style="14"/>
  </cols>
  <sheetData>
    <row r="1" spans="2:16" ht="21" customHeight="1"/>
    <row r="2" spans="2:16" ht="18" customHeight="1">
      <c r="B2" s="225" t="s">
        <v>152</v>
      </c>
      <c r="C2" s="225"/>
      <c r="D2" s="225"/>
      <c r="E2" s="225"/>
      <c r="F2" s="225"/>
      <c r="G2" s="225"/>
      <c r="K2" s="14"/>
      <c r="L2" s="14"/>
      <c r="M2" s="14"/>
      <c r="N2" s="14"/>
      <c r="O2" s="14"/>
      <c r="P2" s="14"/>
    </row>
    <row r="3" spans="2:16" ht="18" customHeight="1">
      <c r="B3" s="13"/>
      <c r="C3" s="13"/>
      <c r="D3" s="13"/>
      <c r="E3" s="13"/>
      <c r="F3" s="13"/>
      <c r="G3" s="127" t="s">
        <v>90</v>
      </c>
      <c r="K3" s="14"/>
      <c r="L3" s="14"/>
      <c r="M3" s="14"/>
      <c r="N3" s="14"/>
      <c r="O3" s="14"/>
      <c r="P3" s="14"/>
    </row>
    <row r="4" spans="2:16" ht="18" customHeight="1">
      <c r="B4" s="13" t="s">
        <v>151</v>
      </c>
      <c r="C4" s="13"/>
      <c r="D4" s="13"/>
      <c r="E4" s="13"/>
      <c r="F4" s="13"/>
      <c r="G4" s="127"/>
      <c r="K4" s="14"/>
      <c r="L4" s="14"/>
      <c r="M4" s="14"/>
      <c r="N4" s="14"/>
      <c r="O4" s="14"/>
      <c r="P4" s="14"/>
    </row>
    <row r="5" spans="2:16" ht="18" customHeight="1">
      <c r="B5" s="133" t="s">
        <v>92</v>
      </c>
      <c r="C5" s="133" t="s">
        <v>153</v>
      </c>
      <c r="D5" s="133" t="s">
        <v>150</v>
      </c>
      <c r="E5" s="133" t="s">
        <v>80</v>
      </c>
      <c r="F5" s="133" t="s">
        <v>154</v>
      </c>
      <c r="G5" s="133" t="s">
        <v>84</v>
      </c>
      <c r="K5" s="14"/>
      <c r="L5" s="14"/>
      <c r="M5" s="14"/>
      <c r="N5" s="14"/>
      <c r="O5" s="14"/>
      <c r="P5" s="14"/>
    </row>
    <row r="6" spans="2:16" ht="18" customHeight="1">
      <c r="B6" s="132" t="s">
        <v>96</v>
      </c>
      <c r="C6" s="130">
        <f>純數字!AC4</f>
        <v>15528.062521</v>
      </c>
      <c r="D6" s="130">
        <v>16461.916163000002</v>
      </c>
      <c r="E6" s="142">
        <f>(C6-D6)/D6</f>
        <v>-5.6728125253057864E-2</v>
      </c>
      <c r="F6" s="130">
        <f>純數字!P4</f>
        <v>15247.917868</v>
      </c>
      <c r="G6" s="142">
        <f>(C6-F6)/F6</f>
        <v>1.8372649657821424E-2</v>
      </c>
      <c r="K6" s="14"/>
      <c r="L6" s="14"/>
      <c r="M6" s="14"/>
      <c r="N6" s="14"/>
      <c r="O6" s="14"/>
      <c r="P6" s="14"/>
    </row>
    <row r="7" spans="2:16" ht="18" customHeight="1">
      <c r="B7" s="132" t="s">
        <v>3</v>
      </c>
      <c r="C7" s="130">
        <f>純數字!AC5</f>
        <v>3469.5615505199999</v>
      </c>
      <c r="D7" s="130">
        <v>3590.6773457600002</v>
      </c>
      <c r="E7" s="142">
        <f>(C7-D7)/D7</f>
        <v>-3.3730626168073333E-2</v>
      </c>
      <c r="F7" s="130">
        <f>純數字!P5</f>
        <v>3331.656375780296</v>
      </c>
      <c r="G7" s="142">
        <f>(C7-F7)/F7</f>
        <v>4.1392376399383486E-2</v>
      </c>
      <c r="K7" s="14"/>
      <c r="L7" s="14"/>
      <c r="M7" s="14"/>
      <c r="N7" s="14"/>
      <c r="O7" s="14"/>
      <c r="P7" s="14"/>
    </row>
    <row r="8" spans="2:16" ht="18" customHeight="1">
      <c r="B8" s="132" t="s">
        <v>97</v>
      </c>
      <c r="C8" s="130">
        <f>純數字!AC6</f>
        <v>1668.8928625199999</v>
      </c>
      <c r="D8" s="130">
        <v>1781.36365576</v>
      </c>
      <c r="E8" s="142">
        <f>(C8-D8)/D8</f>
        <v>-6.3137469363051341E-2</v>
      </c>
      <c r="F8" s="130">
        <f>純數字!P6</f>
        <v>1356.9527457802958</v>
      </c>
      <c r="G8" s="142">
        <f>(C8-F8)/F8</f>
        <v>0.2298828147919974</v>
      </c>
      <c r="K8" s="14"/>
      <c r="L8" s="14"/>
      <c r="M8" s="14"/>
      <c r="N8" s="14"/>
      <c r="O8" s="14"/>
      <c r="P8" s="14"/>
    </row>
    <row r="9" spans="2:16" ht="18" customHeight="1">
      <c r="B9" s="132" t="s">
        <v>105</v>
      </c>
      <c r="C9" s="130">
        <f>純數字!AC7</f>
        <v>1254.865457999329</v>
      </c>
      <c r="D9" s="130">
        <v>1162.2661580002289</v>
      </c>
      <c r="E9" s="142">
        <f>(C9-D9)/D9</f>
        <v>7.9671338068058858E-2</v>
      </c>
      <c r="F9" s="130">
        <f>純數字!P7</f>
        <v>882.42083199999036</v>
      </c>
      <c r="G9" s="142">
        <f>(C9-F9)/F9</f>
        <v>0.4220714340517096</v>
      </c>
      <c r="K9" s="14"/>
      <c r="L9" s="14"/>
      <c r="M9" s="14"/>
      <c r="N9" s="14"/>
      <c r="O9" s="14"/>
      <c r="P9" s="14"/>
    </row>
    <row r="10" spans="2:16" ht="18" customHeight="1">
      <c r="B10" s="132" t="s">
        <v>122</v>
      </c>
      <c r="C10" s="130">
        <v>0.42</v>
      </c>
      <c r="D10" s="130">
        <v>0.38</v>
      </c>
      <c r="E10" s="142">
        <f>(C10-D10)/D10</f>
        <v>0.10526315789473679</v>
      </c>
      <c r="F10" s="130">
        <v>0.28999999999999998</v>
      </c>
      <c r="G10" s="142">
        <f>(C10-F10)/F10</f>
        <v>0.44827586206896558</v>
      </c>
      <c r="K10" s="14"/>
      <c r="L10" s="14"/>
      <c r="M10" s="14"/>
      <c r="N10" s="14"/>
      <c r="O10" s="14"/>
      <c r="P10" s="14"/>
    </row>
    <row r="11" spans="2:16" ht="18" customHeight="1">
      <c r="B11" s="132"/>
      <c r="C11" s="132"/>
      <c r="D11" s="132"/>
      <c r="E11" s="132"/>
      <c r="F11" s="132"/>
      <c r="G11" s="132"/>
      <c r="K11" s="14"/>
      <c r="L11" s="14"/>
      <c r="M11" s="14"/>
      <c r="N11" s="14"/>
      <c r="O11" s="14"/>
      <c r="P11" s="14"/>
    </row>
    <row r="13" spans="2:16">
      <c r="B13" s="134" t="s">
        <v>155</v>
      </c>
      <c r="C13" s="132"/>
      <c r="D13" s="132"/>
      <c r="E13" s="132"/>
    </row>
    <row r="14" spans="2:16">
      <c r="B14" s="133" t="s">
        <v>92</v>
      </c>
      <c r="C14" s="133" t="s">
        <v>157</v>
      </c>
      <c r="D14" s="133" t="s">
        <v>156</v>
      </c>
      <c r="E14" s="133" t="s">
        <v>84</v>
      </c>
    </row>
    <row r="15" spans="2:16">
      <c r="B15" s="132" t="s">
        <v>96</v>
      </c>
      <c r="C15" s="130">
        <f>SUM(純數字!AB4:AC4)</f>
        <v>31989.978684000002</v>
      </c>
      <c r="D15" s="130">
        <f>SUM(純數字!O4:P4)</f>
        <v>32206.497320999999</v>
      </c>
      <c r="E15" s="131">
        <f>(C15-D15)/D15</f>
        <v>-6.7228247406717553E-3</v>
      </c>
    </row>
    <row r="16" spans="2:16">
      <c r="B16" s="132" t="s">
        <v>3</v>
      </c>
      <c r="C16" s="130">
        <f>SUM(純數字!AB5:AC5)</f>
        <v>7060.2388962799996</v>
      </c>
      <c r="D16" s="130">
        <f>SUM(純數字!O5:P5)</f>
        <v>7006.9211878345059</v>
      </c>
      <c r="E16" s="131">
        <f>(C16-D16)/D16</f>
        <v>7.6092918724509889E-3</v>
      </c>
    </row>
    <row r="17" spans="2:5">
      <c r="B17" s="132" t="s">
        <v>97</v>
      </c>
      <c r="C17" s="130">
        <f>SUM(純數字!AB6:AC6)</f>
        <v>3450.2565182799999</v>
      </c>
      <c r="D17" s="130">
        <f>SUM(純數字!O6:P6)</f>
        <v>3015.1147788345061</v>
      </c>
      <c r="E17" s="131">
        <f>(C17-D17)/D17</f>
        <v>0.14432012422880236</v>
      </c>
    </row>
    <row r="18" spans="2:5">
      <c r="B18" s="132" t="s">
        <v>105</v>
      </c>
      <c r="C18" s="130">
        <f>SUM(純數字!AB7:AC7)</f>
        <v>2417.1316159995577</v>
      </c>
      <c r="D18" s="130">
        <f>SUM(純數字!O7:P7)</f>
        <v>1937.8185410000401</v>
      </c>
      <c r="E18" s="131">
        <f>(C18-D18)/D18</f>
        <v>0.24734672770349328</v>
      </c>
    </row>
    <row r="19" spans="2:5">
      <c r="B19" s="132" t="s">
        <v>122</v>
      </c>
      <c r="C19" s="130">
        <v>0.8</v>
      </c>
      <c r="D19" s="130">
        <v>0.64</v>
      </c>
      <c r="E19" s="131">
        <f>(C19-D19)/D19</f>
        <v>0.25000000000000006</v>
      </c>
    </row>
  </sheetData>
  <mergeCells count="1">
    <mergeCell ref="B2:G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E662-F6BE-46A6-83F1-31E85688E082}">
  <dimension ref="B1:P13"/>
  <sheetViews>
    <sheetView workbookViewId="0">
      <selection activeCell="C5" sqref="C5:C10"/>
    </sheetView>
  </sheetViews>
  <sheetFormatPr defaultRowHeight="15.6"/>
  <cols>
    <col min="1" max="1" width="8.88671875" style="14"/>
    <col min="2" max="2" width="10.33203125" style="14" customWidth="1"/>
    <col min="3" max="7" width="12.21875" style="14" customWidth="1"/>
    <col min="8" max="10" width="12.88671875" style="14" customWidth="1"/>
    <col min="11" max="11" width="11.109375" style="13" bestFit="1" customWidth="1"/>
    <col min="12" max="13" width="14.21875" style="13" bestFit="1" customWidth="1"/>
    <col min="14" max="14" width="10" style="13" bestFit="1" customWidth="1"/>
    <col min="15" max="15" width="14.21875" style="13" bestFit="1" customWidth="1"/>
    <col min="16" max="16" width="11.21875" style="13" bestFit="1" customWidth="1"/>
    <col min="17" max="16384" width="8.88671875" style="14"/>
  </cols>
  <sheetData>
    <row r="1" spans="2:16" ht="21" customHeight="1"/>
    <row r="2" spans="2:16" ht="18" customHeight="1">
      <c r="B2" s="225" t="s">
        <v>148</v>
      </c>
      <c r="C2" s="225"/>
      <c r="D2" s="225"/>
      <c r="E2" s="225"/>
      <c r="F2" s="225"/>
      <c r="G2" s="225"/>
      <c r="K2" s="14"/>
      <c r="L2" s="14"/>
      <c r="M2" s="14"/>
      <c r="N2" s="14"/>
      <c r="O2" s="14"/>
      <c r="P2" s="14"/>
    </row>
    <row r="3" spans="2:16" ht="18" customHeight="1">
      <c r="B3" s="13"/>
      <c r="C3" s="13"/>
      <c r="D3" s="13"/>
      <c r="E3" s="13"/>
      <c r="F3" s="13"/>
      <c r="G3" s="127" t="s">
        <v>90</v>
      </c>
      <c r="K3" s="14"/>
      <c r="L3" s="14"/>
      <c r="M3" s="14"/>
      <c r="N3" s="14"/>
      <c r="O3" s="14"/>
      <c r="P3" s="14"/>
    </row>
    <row r="4" spans="2:16" ht="18" customHeight="1">
      <c r="B4" s="134" t="s">
        <v>149</v>
      </c>
      <c r="C4" s="13"/>
      <c r="D4" s="13"/>
      <c r="E4" s="13"/>
      <c r="F4" s="13"/>
      <c r="G4" s="127"/>
      <c r="K4" s="14"/>
      <c r="L4" s="14"/>
      <c r="M4" s="14"/>
      <c r="N4" s="14"/>
      <c r="O4" s="14"/>
      <c r="P4" s="14"/>
    </row>
    <row r="5" spans="2:16" ht="18" customHeight="1">
      <c r="B5" s="133" t="s">
        <v>92</v>
      </c>
      <c r="C5" s="133" t="s">
        <v>147</v>
      </c>
      <c r="D5" s="133" t="s">
        <v>145</v>
      </c>
      <c r="E5" s="133" t="s">
        <v>80</v>
      </c>
      <c r="F5" s="133" t="s">
        <v>146</v>
      </c>
      <c r="G5" s="133" t="s">
        <v>84</v>
      </c>
      <c r="K5" s="14"/>
      <c r="L5" s="14"/>
      <c r="M5" s="14"/>
      <c r="N5" s="14"/>
      <c r="O5" s="14"/>
      <c r="P5" s="14"/>
    </row>
    <row r="6" spans="2:16" ht="18" customHeight="1">
      <c r="B6" s="132" t="s">
        <v>96</v>
      </c>
      <c r="C6" s="130">
        <f>純數字!AB4</f>
        <v>16461.916163000002</v>
      </c>
      <c r="D6" s="130">
        <v>17156.530975000001</v>
      </c>
      <c r="E6" s="142">
        <f>(C6-D6)/D6</f>
        <v>-4.0486903384616177E-2</v>
      </c>
      <c r="F6" s="130">
        <f>純數字!O4</f>
        <v>16958.579452999998</v>
      </c>
      <c r="G6" s="142">
        <f>(C6-F6)/F6</f>
        <v>-2.9286845126178084E-2</v>
      </c>
      <c r="K6" s="14"/>
      <c r="L6" s="14"/>
      <c r="M6" s="14"/>
      <c r="N6" s="14"/>
      <c r="O6" s="14"/>
      <c r="P6" s="14"/>
    </row>
    <row r="7" spans="2:16" ht="18" customHeight="1">
      <c r="B7" s="132" t="s">
        <v>3</v>
      </c>
      <c r="C7" s="130">
        <f>純數字!AB5</f>
        <v>3590.6773457600002</v>
      </c>
      <c r="D7" s="130">
        <v>3496.6581567499206</v>
      </c>
      <c r="E7" s="142">
        <f>(C7-D7)/D7</f>
        <v>2.6888298711324036E-2</v>
      </c>
      <c r="F7" s="130">
        <f>純數字!O5</f>
        <v>3675.2648120542099</v>
      </c>
      <c r="G7" s="142">
        <f>(C7-F7)/F7</f>
        <v>-2.3015339198628065E-2</v>
      </c>
      <c r="K7" s="14"/>
      <c r="L7" s="14"/>
      <c r="M7" s="14"/>
      <c r="N7" s="14"/>
      <c r="O7" s="14"/>
      <c r="P7" s="14"/>
    </row>
    <row r="8" spans="2:16" ht="18" customHeight="1">
      <c r="B8" s="132" t="s">
        <v>97</v>
      </c>
      <c r="C8" s="130">
        <f>純數字!AB6</f>
        <v>1781.36365576</v>
      </c>
      <c r="D8" s="130">
        <v>1731.3534577499208</v>
      </c>
      <c r="E8" s="142">
        <f>(C8-D8)/D8</f>
        <v>2.8885030833087542E-2</v>
      </c>
      <c r="F8" s="130">
        <f>純數字!O6</f>
        <v>1658.16203305421</v>
      </c>
      <c r="G8" s="142">
        <f>(C8-F8)/F8</f>
        <v>7.4300110755076115E-2</v>
      </c>
      <c r="K8" s="14"/>
      <c r="L8" s="14"/>
      <c r="M8" s="14"/>
      <c r="N8" s="14"/>
      <c r="O8" s="14"/>
      <c r="P8" s="14"/>
    </row>
    <row r="9" spans="2:16" ht="18" customHeight="1">
      <c r="B9" s="132" t="s">
        <v>105</v>
      </c>
      <c r="C9" s="130">
        <f>純數字!AB7</f>
        <v>1162.2661580002289</v>
      </c>
      <c r="D9" s="130">
        <v>949.26533899995206</v>
      </c>
      <c r="E9" s="142">
        <f>(C9-D9)/D9</f>
        <v>0.22438491141441283</v>
      </c>
      <c r="F9" s="130">
        <f>純數字!O7</f>
        <v>1055.3977090000496</v>
      </c>
      <c r="G9" s="142">
        <f>(C9-F9)/F9</f>
        <v>0.10125893593367105</v>
      </c>
      <c r="K9" s="14"/>
      <c r="L9" s="14"/>
      <c r="M9" s="14"/>
      <c r="N9" s="14"/>
      <c r="O9" s="14"/>
      <c r="P9" s="14"/>
    </row>
    <row r="10" spans="2:16" ht="18" customHeight="1">
      <c r="B10" s="132" t="s">
        <v>122</v>
      </c>
      <c r="C10" s="130">
        <v>0.38</v>
      </c>
      <c r="D10" s="130">
        <v>0.32</v>
      </c>
      <c r="E10" s="142">
        <f>(C10-D10)/D10</f>
        <v>0.1875</v>
      </c>
      <c r="F10" s="130">
        <v>0.35</v>
      </c>
      <c r="G10" s="142">
        <f>(C10-F10)/F10</f>
        <v>8.5714285714285798E-2</v>
      </c>
      <c r="K10" s="14"/>
      <c r="L10" s="14"/>
      <c r="M10" s="14"/>
      <c r="N10" s="14"/>
      <c r="O10" s="14"/>
      <c r="P10" s="14"/>
    </row>
    <row r="11" spans="2:16" ht="18" customHeight="1">
      <c r="B11" s="132"/>
      <c r="C11" s="132"/>
      <c r="D11" s="132"/>
      <c r="E11" s="132"/>
      <c r="F11" s="132"/>
      <c r="G11" s="132"/>
      <c r="K11" s="14"/>
      <c r="L11" s="14"/>
      <c r="M11" s="14"/>
      <c r="N11" s="14"/>
      <c r="O11" s="14"/>
      <c r="P11" s="14"/>
    </row>
    <row r="12" spans="2:16">
      <c r="J12" s="142" t="e">
        <f>(H12-I12)/I12</f>
        <v>#DIV/0!</v>
      </c>
      <c r="K12" s="14"/>
      <c r="L12" s="14"/>
      <c r="M12" s="14"/>
      <c r="N12" s="14"/>
      <c r="O12" s="14"/>
      <c r="P12" s="14"/>
    </row>
    <row r="13" spans="2:16">
      <c r="K13" s="14"/>
      <c r="L13" s="14"/>
      <c r="M13" s="14"/>
      <c r="N13" s="14"/>
      <c r="O13" s="14"/>
      <c r="P13" s="14"/>
    </row>
  </sheetData>
  <mergeCells count="1">
    <mergeCell ref="B2:G2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5D32-8ECA-4F3F-AFEC-FF57E1BC1FF3}">
  <dimension ref="B1:P35"/>
  <sheetViews>
    <sheetView workbookViewId="0">
      <selection activeCell="G12" sqref="G12:L17"/>
    </sheetView>
  </sheetViews>
  <sheetFormatPr defaultRowHeight="15.6"/>
  <cols>
    <col min="1" max="1" width="8.88671875" style="14"/>
    <col min="2" max="2" width="10.33203125" style="14" customWidth="1"/>
    <col min="3" max="7" width="12.21875" style="14" customWidth="1"/>
    <col min="8" max="10" width="12.88671875" style="14" customWidth="1"/>
    <col min="11" max="11" width="11.109375" style="13" bestFit="1" customWidth="1"/>
    <col min="12" max="13" width="14.21875" style="13" bestFit="1" customWidth="1"/>
    <col min="14" max="14" width="10" style="13" bestFit="1" customWidth="1"/>
    <col min="15" max="15" width="14.21875" style="13" bestFit="1" customWidth="1"/>
    <col min="16" max="16" width="11.21875" style="13" bestFit="1" customWidth="1"/>
    <col min="17" max="16384" width="8.88671875" style="14"/>
  </cols>
  <sheetData>
    <row r="1" spans="2:16" ht="21" customHeight="1"/>
    <row r="2" spans="2:16" ht="18" customHeight="1">
      <c r="B2" s="225" t="s">
        <v>140</v>
      </c>
      <c r="C2" s="225"/>
      <c r="D2" s="225"/>
      <c r="E2" s="225"/>
      <c r="F2" s="225"/>
      <c r="G2" s="225"/>
      <c r="K2" s="14"/>
      <c r="L2" s="14"/>
      <c r="M2" s="14"/>
      <c r="N2" s="14"/>
      <c r="O2" s="14"/>
      <c r="P2" s="14"/>
    </row>
    <row r="3" spans="2:16" ht="18" customHeight="1">
      <c r="B3" s="13"/>
      <c r="C3" s="13"/>
      <c r="D3" s="13"/>
      <c r="E3" s="13"/>
      <c r="F3" s="13"/>
      <c r="G3" s="127" t="s">
        <v>90</v>
      </c>
      <c r="K3" s="14"/>
      <c r="L3" s="14"/>
      <c r="M3" s="14"/>
      <c r="N3" s="14"/>
      <c r="O3" s="14"/>
      <c r="P3" s="14"/>
    </row>
    <row r="4" spans="2:16" ht="18" customHeight="1">
      <c r="B4" s="134" t="s">
        <v>134</v>
      </c>
      <c r="C4" s="13"/>
      <c r="D4" s="13"/>
      <c r="E4" s="13"/>
      <c r="F4" s="13"/>
      <c r="G4" s="127"/>
      <c r="K4" s="14"/>
      <c r="L4" s="14"/>
      <c r="M4" s="14"/>
      <c r="N4" s="14"/>
      <c r="O4" s="14"/>
      <c r="P4" s="14"/>
    </row>
    <row r="5" spans="2:16" ht="18" customHeight="1">
      <c r="B5" s="133" t="s">
        <v>92</v>
      </c>
      <c r="C5" s="133" t="s">
        <v>136</v>
      </c>
      <c r="D5" s="133" t="s">
        <v>135</v>
      </c>
      <c r="E5" s="133" t="s">
        <v>80</v>
      </c>
      <c r="F5" s="133" t="s">
        <v>137</v>
      </c>
      <c r="G5" s="133" t="s">
        <v>84</v>
      </c>
      <c r="K5" s="14"/>
      <c r="L5" s="14"/>
      <c r="M5" s="14"/>
      <c r="N5" s="14"/>
      <c r="O5" s="14"/>
      <c r="P5" s="14"/>
    </row>
    <row r="6" spans="2:16" ht="18" customHeight="1">
      <c r="B6" s="132" t="s">
        <v>96</v>
      </c>
      <c r="C6" s="130">
        <f>純數字!Z4</f>
        <v>17156.530975000001</v>
      </c>
      <c r="D6" s="130">
        <v>23065.358815</v>
      </c>
      <c r="E6" s="142">
        <f>(C6-D6)/D6</f>
        <v>-0.25617758160160659</v>
      </c>
      <c r="F6" s="130">
        <f>純數字!N4</f>
        <v>17080.886801372901</v>
      </c>
      <c r="G6" s="142">
        <f>(C6-F6)/F6</f>
        <v>4.4285858519371966E-3</v>
      </c>
      <c r="K6" s="14"/>
      <c r="L6" s="14"/>
      <c r="M6" s="14"/>
      <c r="N6" s="14"/>
      <c r="O6" s="14"/>
      <c r="P6" s="14"/>
    </row>
    <row r="7" spans="2:16" ht="18" customHeight="1">
      <c r="B7" s="132" t="s">
        <v>3</v>
      </c>
      <c r="C7" s="130">
        <f>純數字!Z5</f>
        <v>3496.6581567499206</v>
      </c>
      <c r="D7" s="130">
        <v>3855.3619639505409</v>
      </c>
      <c r="E7" s="143">
        <f>(C7-D7)/D7</f>
        <v>-9.3040241241852437E-2</v>
      </c>
      <c r="F7" s="130">
        <f>純數字!N5</f>
        <v>3519.4082976077098</v>
      </c>
      <c r="G7" s="142">
        <f>(C7-F7)/F7</f>
        <v>-6.4641948117396186E-3</v>
      </c>
      <c r="K7" s="14"/>
      <c r="L7" s="14"/>
      <c r="M7" s="14"/>
      <c r="N7" s="14"/>
      <c r="O7" s="14"/>
      <c r="P7" s="14"/>
    </row>
    <row r="8" spans="2:16" ht="18" customHeight="1">
      <c r="B8" s="132" t="s">
        <v>97</v>
      </c>
      <c r="C8" s="130">
        <f>純數字!Z6</f>
        <v>1731.3534577499208</v>
      </c>
      <c r="D8" s="130">
        <v>2032.1162649505411</v>
      </c>
      <c r="E8" s="142">
        <f>(C8-D8)/D8</f>
        <v>-0.14800472413321314</v>
      </c>
      <c r="F8" s="130">
        <f>純數字!N6</f>
        <v>1533.0298432011077</v>
      </c>
      <c r="G8" s="142">
        <f>(C8-F8)/F8</f>
        <v>0.12936709316414552</v>
      </c>
      <c r="K8" s="14"/>
      <c r="L8" s="14"/>
      <c r="M8" s="14"/>
      <c r="N8" s="14"/>
      <c r="O8" s="14"/>
      <c r="P8" s="14"/>
    </row>
    <row r="9" spans="2:16" ht="18" customHeight="1">
      <c r="B9" s="132" t="s">
        <v>105</v>
      </c>
      <c r="C9" s="130">
        <f>純數字!Z7</f>
        <v>949.26533899995206</v>
      </c>
      <c r="D9" s="130">
        <v>1325.7904499998908</v>
      </c>
      <c r="E9" s="142">
        <f>(C9-D9)/D9</f>
        <v>-0.2840004700591785</v>
      </c>
      <c r="F9" s="130">
        <f>純數字!N7</f>
        <v>1770.4948200002432</v>
      </c>
      <c r="G9" s="142">
        <f>(C9-F9)/F9</f>
        <v>-0.46384178689671529</v>
      </c>
      <c r="K9" s="14"/>
      <c r="L9" s="14"/>
      <c r="M9" s="14"/>
      <c r="N9" s="14"/>
      <c r="O9" s="14"/>
      <c r="P9" s="14"/>
    </row>
    <row r="10" spans="2:16" ht="18" customHeight="1">
      <c r="B10" s="132" t="s">
        <v>122</v>
      </c>
      <c r="C10" s="130">
        <v>0.32</v>
      </c>
      <c r="D10" s="130">
        <v>0.43</v>
      </c>
      <c r="E10" s="142">
        <f>(C10-D10)/D10</f>
        <v>-0.25581395348837205</v>
      </c>
      <c r="F10" s="130">
        <v>0.61</v>
      </c>
      <c r="G10" s="142">
        <f>(D10-F10)/F10</f>
        <v>-0.29508196721311475</v>
      </c>
      <c r="K10" s="14"/>
      <c r="L10" s="14"/>
      <c r="M10" s="14"/>
      <c r="N10" s="14"/>
      <c r="O10" s="14"/>
      <c r="P10" s="14"/>
    </row>
    <row r="11" spans="2:16" ht="18" customHeight="1">
      <c r="B11" s="132"/>
      <c r="C11" s="132"/>
      <c r="D11" s="132"/>
      <c r="E11" s="132"/>
      <c r="F11" s="132"/>
      <c r="G11" s="132"/>
      <c r="K11" s="14"/>
      <c r="L11" s="14"/>
      <c r="M11" s="14"/>
      <c r="N11" s="14"/>
      <c r="O11" s="14"/>
      <c r="P11" s="14"/>
    </row>
    <row r="12" spans="2:16" ht="18" customHeight="1">
      <c r="B12" s="134" t="s">
        <v>133</v>
      </c>
      <c r="C12" s="132"/>
      <c r="D12" s="132"/>
      <c r="E12" s="132"/>
      <c r="F12" s="132"/>
      <c r="G12" s="134" t="s">
        <v>141</v>
      </c>
      <c r="H12" s="132"/>
      <c r="I12" s="132"/>
      <c r="J12" s="132"/>
      <c r="K12" s="14"/>
      <c r="L12" s="14"/>
      <c r="M12" s="14"/>
      <c r="N12" s="14"/>
      <c r="O12" s="14"/>
      <c r="P12" s="14"/>
    </row>
    <row r="13" spans="2:16" ht="18" customHeight="1">
      <c r="B13" s="133" t="s">
        <v>92</v>
      </c>
      <c r="C13" s="133" t="s">
        <v>138</v>
      </c>
      <c r="D13" s="133" t="s">
        <v>139</v>
      </c>
      <c r="E13" s="133" t="s">
        <v>84</v>
      </c>
      <c r="F13" s="132"/>
      <c r="G13" s="133" t="s">
        <v>92</v>
      </c>
      <c r="H13" s="133" t="s">
        <v>143</v>
      </c>
      <c r="I13" s="133" t="s">
        <v>142</v>
      </c>
      <c r="J13" s="133" t="s">
        <v>87</v>
      </c>
      <c r="K13" s="133" t="s">
        <v>144</v>
      </c>
      <c r="L13" s="133" t="s">
        <v>84</v>
      </c>
      <c r="M13" s="14"/>
      <c r="N13" s="14"/>
      <c r="O13" s="14"/>
      <c r="P13" s="14"/>
    </row>
    <row r="14" spans="2:16" ht="18" customHeight="1">
      <c r="B14" s="132" t="s">
        <v>96</v>
      </c>
      <c r="C14" s="130">
        <f>SUM(純數字!O4:Z4)</f>
        <v>199373.905172</v>
      </c>
      <c r="D14" s="130">
        <f>SUM(純數字!C4:N4)</f>
        <v>183347.82458760729</v>
      </c>
      <c r="E14" s="142">
        <f>(C14-D14)/D14</f>
        <v>8.7408075991297754E-2</v>
      </c>
      <c r="F14" s="132"/>
      <c r="G14" s="132" t="s">
        <v>96</v>
      </c>
      <c r="H14" s="130">
        <f>SUM(純數字!X4:Z4)</f>
        <v>56151.860945</v>
      </c>
      <c r="I14" s="130">
        <f>SUM(純數字!U4:W4)</f>
        <v>47201.517163000004</v>
      </c>
      <c r="J14" s="142">
        <f>(H14-I14)/I14</f>
        <v>0.18961983258063428</v>
      </c>
      <c r="K14" s="130">
        <f>SUM(純數字!L4:N4)</f>
        <v>53599.115519762301</v>
      </c>
      <c r="L14" s="142">
        <f t="shared" ref="L14:L17" si="0">(H14-K14)/K14</f>
        <v>4.7626633396524752E-2</v>
      </c>
      <c r="M14" s="14"/>
      <c r="N14" s="14"/>
      <c r="O14" s="14"/>
      <c r="P14" s="14"/>
    </row>
    <row r="15" spans="2:16" ht="18" customHeight="1">
      <c r="B15" s="132" t="s">
        <v>3</v>
      </c>
      <c r="C15" s="130">
        <f>SUM(純數字!O5:Z5)</f>
        <v>42520.089402189828</v>
      </c>
      <c r="D15" s="130">
        <f>SUM(純數字!C5:N5)</f>
        <v>35788.728991777978</v>
      </c>
      <c r="E15" s="142">
        <f>(C15-D15)/D15</f>
        <v>0.18808604273033269</v>
      </c>
      <c r="F15" s="132"/>
      <c r="G15" s="132" t="s">
        <v>3</v>
      </c>
      <c r="H15" s="130">
        <f>SUM(純數字!X5:Z5)</f>
        <v>10824.329724719842</v>
      </c>
      <c r="I15" s="130">
        <f>SUM(純數字!U5:W5)</f>
        <v>10521.868093728081</v>
      </c>
      <c r="J15" s="142">
        <f>(H15-I15)/I15</f>
        <v>2.8746001023530653E-2</v>
      </c>
      <c r="K15" s="130">
        <f>SUM(純數字!L5:N5)</f>
        <v>9449.4788740605109</v>
      </c>
      <c r="L15" s="142">
        <f t="shared" si="0"/>
        <v>0.14549488590671331</v>
      </c>
      <c r="M15" s="14"/>
      <c r="N15" s="14"/>
      <c r="O15" s="14"/>
      <c r="P15" s="14"/>
    </row>
    <row r="16" spans="2:16" ht="18" customHeight="1">
      <c r="B16" s="132" t="s">
        <v>97</v>
      </c>
      <c r="C16" s="130">
        <f>SUM(純數字!O6:Z6)</f>
        <v>20250.475870189828</v>
      </c>
      <c r="D16" s="130">
        <f>SUM(純數字!C6:N6)</f>
        <v>17544.703736549665</v>
      </c>
      <c r="E16" s="142">
        <f>(C16-D16)/D16</f>
        <v>0.15422159155662546</v>
      </c>
      <c r="F16" s="132"/>
      <c r="G16" s="132" t="s">
        <v>97</v>
      </c>
      <c r="H16" s="130">
        <f>SUM(純數字!X6:Z6)</f>
        <v>5468.2935727198437</v>
      </c>
      <c r="I16" s="130">
        <f>SUM(純數字!U6:W6)</f>
        <v>5175.9079507280794</v>
      </c>
      <c r="J16" s="142">
        <f>(H16-I16)/I16</f>
        <v>5.6489726010416262E-2</v>
      </c>
      <c r="K16" s="130">
        <f>SUM(純數字!L6:N6)</f>
        <v>4477.1390113501084</v>
      </c>
      <c r="L16" s="142">
        <f t="shared" si="0"/>
        <v>0.22138123450199657</v>
      </c>
      <c r="M16" s="14"/>
      <c r="N16" s="14"/>
      <c r="O16" s="14"/>
      <c r="P16" s="14"/>
    </row>
    <row r="17" spans="2:16" ht="18" customHeight="1">
      <c r="B17" s="132" t="s">
        <v>105</v>
      </c>
      <c r="C17" s="130">
        <f>SUM(純數字!O7:Z7)</f>
        <v>13816.716211999945</v>
      </c>
      <c r="D17" s="130">
        <f>SUM(純數字!C7:N7)</f>
        <v>12274.109034137367</v>
      </c>
      <c r="E17" s="142">
        <f>(C17-D17)/D17</f>
        <v>0.12567976816665072</v>
      </c>
      <c r="F17" s="132"/>
      <c r="G17" s="132" t="s">
        <v>105</v>
      </c>
      <c r="H17" s="130">
        <f>SUM(純數字!X7:Z7)</f>
        <v>3451.7697039998893</v>
      </c>
      <c r="I17" s="130">
        <f>SUM(純數字!U7:W7)</f>
        <v>4164.4249299999174</v>
      </c>
      <c r="J17" s="142">
        <f>(H17-I17)/I17</f>
        <v>-0.17112932469166689</v>
      </c>
      <c r="K17" s="130">
        <f>SUM(純數字!L7:N7)</f>
        <v>3585.9075290007763</v>
      </c>
      <c r="L17" s="142">
        <f t="shared" si="0"/>
        <v>-3.7406939224187107E-2</v>
      </c>
      <c r="M17" s="14"/>
      <c r="N17" s="14"/>
      <c r="O17" s="14"/>
      <c r="P17" s="14"/>
    </row>
    <row r="18" spans="2:16" ht="18" customHeight="1">
      <c r="B18" s="132" t="s">
        <v>122</v>
      </c>
      <c r="C18" s="130">
        <v>4.57</v>
      </c>
      <c r="D18" s="130">
        <v>4.33</v>
      </c>
      <c r="E18" s="142">
        <f>(C18-D18)/D18</f>
        <v>5.5427251732101668E-2</v>
      </c>
      <c r="G18" s="132"/>
      <c r="H18" s="130"/>
      <c r="I18" s="130"/>
      <c r="J18" s="142"/>
      <c r="K18" s="130"/>
      <c r="L18" s="14"/>
      <c r="M18" s="14"/>
      <c r="N18" s="14"/>
      <c r="O18" s="14"/>
      <c r="P18" s="14"/>
    </row>
    <row r="19" spans="2:16">
      <c r="J19" s="142" t="e">
        <f>(H19-I19)/I19</f>
        <v>#DIV/0!</v>
      </c>
      <c r="K19" s="14"/>
      <c r="L19" s="14"/>
      <c r="M19" s="14"/>
      <c r="N19" s="14"/>
      <c r="O19" s="14"/>
      <c r="P19" s="14"/>
    </row>
    <row r="20" spans="2:16">
      <c r="K20" s="14"/>
      <c r="L20" s="14"/>
      <c r="M20" s="14"/>
      <c r="N20" s="14"/>
      <c r="O20" s="14"/>
      <c r="P20" s="14"/>
    </row>
    <row r="21" spans="2:16">
      <c r="B21" s="226" t="s">
        <v>126</v>
      </c>
      <c r="C21" s="226"/>
      <c r="D21" s="226"/>
      <c r="E21" s="226"/>
      <c r="F21" s="226"/>
      <c r="G21" s="226"/>
      <c r="K21" s="14"/>
      <c r="L21" s="14"/>
      <c r="M21" s="14"/>
      <c r="N21" s="14"/>
      <c r="O21" s="14"/>
      <c r="P21" s="14"/>
    </row>
    <row r="22" spans="2:16">
      <c r="B22" s="13"/>
      <c r="C22" s="13"/>
      <c r="D22" s="13"/>
      <c r="E22" s="13"/>
      <c r="F22" s="13"/>
      <c r="G22" s="127" t="s">
        <v>90</v>
      </c>
    </row>
    <row r="23" spans="2:16">
      <c r="B23" s="227" t="s">
        <v>125</v>
      </c>
      <c r="C23" s="226"/>
      <c r="D23" s="226"/>
      <c r="E23" s="226"/>
      <c r="F23" s="226"/>
      <c r="G23" s="226"/>
    </row>
    <row r="24" spans="2:16">
      <c r="B24" s="133" t="s">
        <v>92</v>
      </c>
      <c r="C24" s="133" t="s">
        <v>127</v>
      </c>
      <c r="D24" s="133" t="s">
        <v>113</v>
      </c>
      <c r="E24" s="133" t="s">
        <v>80</v>
      </c>
      <c r="F24" s="133" t="s">
        <v>128</v>
      </c>
      <c r="G24" s="133" t="s">
        <v>84</v>
      </c>
    </row>
    <row r="25" spans="2:16">
      <c r="B25" s="20" t="s">
        <v>18</v>
      </c>
      <c r="C25" s="135">
        <f>純數字!Y4</f>
        <v>23065.358815</v>
      </c>
      <c r="D25" s="135">
        <f>純數字!X4</f>
        <v>15929.971154999999</v>
      </c>
      <c r="E25" s="131">
        <f t="shared" ref="E25:E28" si="1">(C25-D25)/D25</f>
        <v>0.44792219587669435</v>
      </c>
      <c r="F25" s="135">
        <f>純數字!M4</f>
        <v>21700.686301605401</v>
      </c>
      <c r="G25" s="131">
        <f t="shared" ref="G25:G28" si="2">(C25-F25)/F25</f>
        <v>6.288614537014163E-2</v>
      </c>
    </row>
    <row r="26" spans="2:16">
      <c r="B26" s="17" t="s">
        <v>3</v>
      </c>
      <c r="C26" s="135">
        <f>純數字!Y5</f>
        <v>3855.3619639505409</v>
      </c>
      <c r="D26" s="135">
        <f>純數字!X5</f>
        <v>3472.3096040193809</v>
      </c>
      <c r="E26" s="131">
        <f t="shared" si="1"/>
        <v>0.11031630344476102</v>
      </c>
      <c r="F26" s="135">
        <f>純數字!M5</f>
        <v>3099.4616046065066</v>
      </c>
      <c r="G26" s="131">
        <f t="shared" si="2"/>
        <v>0.24388118188674898</v>
      </c>
    </row>
    <row r="27" spans="2:16">
      <c r="B27" s="20" t="s">
        <v>14</v>
      </c>
      <c r="C27" s="135">
        <f>純數字!Y6</f>
        <v>2032.1162649505411</v>
      </c>
      <c r="D27" s="135">
        <f>純數字!X6</f>
        <v>1704.8238500193811</v>
      </c>
      <c r="E27" s="131">
        <f t="shared" si="1"/>
        <v>0.19198019486144521</v>
      </c>
      <c r="F27" s="135">
        <f>純數字!M6</f>
        <v>1598.676530014546</v>
      </c>
      <c r="G27" s="131">
        <f t="shared" si="2"/>
        <v>0.27112409971518842</v>
      </c>
    </row>
    <row r="28" spans="2:16">
      <c r="B28" s="20" t="s">
        <v>112</v>
      </c>
      <c r="C28" s="135">
        <f>純數字!Y7</f>
        <v>1325.7904499998908</v>
      </c>
      <c r="D28" s="135">
        <f>純數字!X7</f>
        <v>1176.7139150000462</v>
      </c>
      <c r="E28" s="131">
        <f t="shared" si="1"/>
        <v>0.12668885197965793</v>
      </c>
      <c r="F28" s="135">
        <f>純數字!M7</f>
        <v>949.67679400053601</v>
      </c>
      <c r="G28" s="131">
        <f t="shared" si="2"/>
        <v>0.39604385236683221</v>
      </c>
    </row>
    <row r="29" spans="2:16">
      <c r="B29" s="13"/>
      <c r="C29" s="13"/>
      <c r="D29" s="13"/>
      <c r="E29" s="13"/>
      <c r="F29" s="13"/>
      <c r="G29" s="13"/>
    </row>
    <row r="30" spans="2:16">
      <c r="B30" s="227" t="s">
        <v>124</v>
      </c>
      <c r="C30" s="226"/>
      <c r="D30" s="226"/>
      <c r="E30" s="226"/>
      <c r="F30" s="13"/>
      <c r="G30" s="13"/>
    </row>
    <row r="31" spans="2:16">
      <c r="B31" s="133" t="s">
        <v>92</v>
      </c>
      <c r="C31" s="133" t="s">
        <v>110</v>
      </c>
      <c r="D31" s="133" t="s">
        <v>111</v>
      </c>
      <c r="E31" s="133" t="s">
        <v>84</v>
      </c>
      <c r="F31" s="13"/>
      <c r="G31" s="13"/>
    </row>
    <row r="32" spans="2:16">
      <c r="B32" s="20" t="s">
        <v>18</v>
      </c>
      <c r="C32" s="135">
        <f>SUM(純數字!O4:Y4)</f>
        <v>182217.374197</v>
      </c>
      <c r="D32" s="135">
        <f>SUM(純數字!C4:M4)</f>
        <v>166266.9377862344</v>
      </c>
      <c r="E32" s="131">
        <f>(J16-D32)/D32</f>
        <v>-0.99999966024678899</v>
      </c>
      <c r="F32" s="13"/>
      <c r="G32" s="13"/>
    </row>
    <row r="33" spans="2:7">
      <c r="B33" s="17" t="s">
        <v>3</v>
      </c>
      <c r="C33" s="135">
        <f>SUM(純數字!O5:Y5)</f>
        <v>39023.431245439904</v>
      </c>
      <c r="D33" s="135">
        <f>SUM(純數字!C5:M5)</f>
        <v>32269.320694170267</v>
      </c>
      <c r="E33" s="131">
        <f>(J17-D33)/D33</f>
        <v>-1.0000053031585732</v>
      </c>
      <c r="F33" s="13"/>
      <c r="G33" s="13"/>
    </row>
    <row r="34" spans="2:7">
      <c r="B34" s="20" t="s">
        <v>14</v>
      </c>
      <c r="C34" s="135">
        <f>SUM(純數字!O6:Y6)</f>
        <v>18519.122412439909</v>
      </c>
      <c r="D34" s="135">
        <f>SUM(純數字!C6:M6)</f>
        <v>16011.673893348558</v>
      </c>
      <c r="E34" s="131">
        <f>(J18-D34)/D34</f>
        <v>-1</v>
      </c>
      <c r="F34" s="13"/>
      <c r="G34" s="13"/>
    </row>
    <row r="35" spans="2:7">
      <c r="B35" s="20" t="s">
        <v>112</v>
      </c>
      <c r="C35" s="135">
        <f>SUM(純數字!O7:Y7)</f>
        <v>12867.450872999992</v>
      </c>
      <c r="D35" s="135">
        <f>SUM(純數字!C7:M7)</f>
        <v>10503.614214137124</v>
      </c>
      <c r="E35" s="131">
        <f>(J21-D35)/D35</f>
        <v>-1</v>
      </c>
      <c r="F35" s="13"/>
      <c r="G35" s="13"/>
    </row>
  </sheetData>
  <mergeCells count="4">
    <mergeCell ref="B2:G2"/>
    <mergeCell ref="B21:G21"/>
    <mergeCell ref="B23:G23"/>
    <mergeCell ref="B30:E30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648A-1A2F-4C52-9CC7-F10B7409581E}">
  <dimension ref="B1:P35"/>
  <sheetViews>
    <sheetView topLeftCell="A3" workbookViewId="0">
      <selection activeCell="C10" sqref="C10"/>
    </sheetView>
  </sheetViews>
  <sheetFormatPr defaultRowHeight="15.6"/>
  <cols>
    <col min="1" max="1" width="8.88671875" style="14"/>
    <col min="2" max="2" width="10.33203125" style="14" customWidth="1"/>
    <col min="3" max="7" width="12.21875" style="14" customWidth="1"/>
    <col min="8" max="10" width="8.88671875" style="14"/>
    <col min="11" max="11" width="11.109375" style="13" bestFit="1" customWidth="1"/>
    <col min="12" max="13" width="14.21875" style="13" bestFit="1" customWidth="1"/>
    <col min="14" max="14" width="10" style="13" bestFit="1" customWidth="1"/>
    <col min="15" max="15" width="14.21875" style="13" bestFit="1" customWidth="1"/>
    <col min="16" max="16" width="11.21875" style="13" bestFit="1" customWidth="1"/>
    <col min="17" max="16384" width="8.88671875" style="14"/>
  </cols>
  <sheetData>
    <row r="1" spans="2:16" ht="21" customHeight="1"/>
    <row r="2" spans="2:16" ht="18" customHeight="1">
      <c r="B2" s="225" t="s">
        <v>132</v>
      </c>
      <c r="C2" s="225"/>
      <c r="D2" s="225"/>
      <c r="E2" s="225"/>
      <c r="F2" s="225"/>
      <c r="G2" s="225"/>
      <c r="K2" s="14"/>
      <c r="L2" s="14"/>
      <c r="M2" s="14"/>
      <c r="N2" s="14"/>
      <c r="O2" s="14"/>
      <c r="P2" s="14"/>
    </row>
    <row r="3" spans="2:16" ht="18" customHeight="1">
      <c r="B3" s="13"/>
      <c r="C3" s="13"/>
      <c r="D3" s="13"/>
      <c r="E3" s="13"/>
      <c r="F3" s="13"/>
      <c r="G3" s="127" t="s">
        <v>90</v>
      </c>
      <c r="K3" s="14"/>
      <c r="L3" s="14"/>
      <c r="M3" s="14"/>
      <c r="N3" s="14"/>
      <c r="O3" s="14"/>
      <c r="P3" s="14"/>
    </row>
    <row r="4" spans="2:16" ht="18" customHeight="1">
      <c r="B4" s="134" t="s">
        <v>125</v>
      </c>
      <c r="C4" s="13"/>
      <c r="D4" s="13"/>
      <c r="E4" s="13"/>
      <c r="F4" s="13"/>
      <c r="G4" s="127"/>
      <c r="K4" s="14"/>
      <c r="L4" s="14"/>
      <c r="M4" s="14"/>
      <c r="N4" s="14"/>
      <c r="O4" s="14"/>
      <c r="P4" s="14"/>
    </row>
    <row r="5" spans="2:16" ht="18" customHeight="1">
      <c r="B5" s="133" t="s">
        <v>92</v>
      </c>
      <c r="C5" s="133" t="s">
        <v>127</v>
      </c>
      <c r="D5" s="133" t="s">
        <v>113</v>
      </c>
      <c r="E5" s="133" t="s">
        <v>80</v>
      </c>
      <c r="F5" s="133" t="s">
        <v>128</v>
      </c>
      <c r="G5" s="133" t="s">
        <v>84</v>
      </c>
      <c r="K5" s="14"/>
      <c r="L5" s="14"/>
      <c r="M5" s="14"/>
      <c r="N5" s="14"/>
      <c r="O5" s="14"/>
      <c r="P5" s="14"/>
    </row>
    <row r="6" spans="2:16" ht="18" customHeight="1">
      <c r="B6" s="132" t="s">
        <v>96</v>
      </c>
      <c r="C6" s="130">
        <f>大表!Y4</f>
        <v>23065.358815</v>
      </c>
      <c r="D6" s="130">
        <f>純數字!X4</f>
        <v>15929.971154999999</v>
      </c>
      <c r="E6" s="131">
        <f>(C6-D6)/D6</f>
        <v>0.44792219587669435</v>
      </c>
      <c r="F6" s="130">
        <f>純數字!M4</f>
        <v>21700.686301605401</v>
      </c>
      <c r="G6" s="131">
        <f>(C6-F6)/F6</f>
        <v>6.288614537014163E-2</v>
      </c>
      <c r="K6" s="14"/>
      <c r="L6" s="14"/>
      <c r="M6" s="14"/>
      <c r="N6" s="14"/>
      <c r="O6" s="14"/>
      <c r="P6" s="14"/>
    </row>
    <row r="7" spans="2:16" ht="18" customHeight="1">
      <c r="B7" s="132" t="s">
        <v>3</v>
      </c>
      <c r="C7" s="130">
        <f>大表!Y7</f>
        <v>3855.3619639505409</v>
      </c>
      <c r="D7" s="130">
        <v>3472.3096040193809</v>
      </c>
      <c r="E7" s="141">
        <f>(C7-D7)/D7</f>
        <v>0.11031630344476102</v>
      </c>
      <c r="F7" s="130">
        <f>大表!M7</f>
        <v>3099.4616046065066</v>
      </c>
      <c r="G7" s="131">
        <f>(C7-F7)/F7</f>
        <v>0.24388118188674898</v>
      </c>
      <c r="K7" s="14"/>
      <c r="L7" s="14"/>
      <c r="M7" s="14"/>
      <c r="N7" s="14"/>
      <c r="O7" s="14"/>
      <c r="P7" s="14"/>
    </row>
    <row r="8" spans="2:16" ht="18" customHeight="1">
      <c r="B8" s="132" t="s">
        <v>97</v>
      </c>
      <c r="C8" s="130">
        <f>大表!Y10</f>
        <v>2032.1162649505411</v>
      </c>
      <c r="D8" s="130">
        <v>1704.8238500193811</v>
      </c>
      <c r="E8" s="131">
        <f>(C8-D8)/D8</f>
        <v>0.19198019486144521</v>
      </c>
      <c r="F8" s="130">
        <f>大表!M10</f>
        <v>1598.676530014546</v>
      </c>
      <c r="G8" s="131">
        <f>(C8-F8)/F8</f>
        <v>0.27112409971518842</v>
      </c>
      <c r="K8" s="14"/>
      <c r="L8" s="14"/>
      <c r="M8" s="14"/>
      <c r="N8" s="14"/>
      <c r="O8" s="14"/>
      <c r="P8" s="14"/>
    </row>
    <row r="9" spans="2:16" ht="18" customHeight="1">
      <c r="B9" s="132" t="s">
        <v>105</v>
      </c>
      <c r="C9" s="130">
        <f>大表!Y19</f>
        <v>1325.7904499998908</v>
      </c>
      <c r="D9" s="130">
        <f>大表!X19</f>
        <v>1176.7139150000462</v>
      </c>
      <c r="E9" s="131">
        <f>(C9-D9)/D9</f>
        <v>0.12668885197965793</v>
      </c>
      <c r="F9" s="130">
        <f>大表!M19</f>
        <v>949.67679400053601</v>
      </c>
      <c r="G9" s="131">
        <f>(C9-F9)/F9</f>
        <v>0.39604385236683221</v>
      </c>
      <c r="K9" s="14"/>
      <c r="L9" s="14"/>
      <c r="M9" s="14"/>
      <c r="N9" s="14"/>
      <c r="O9" s="14"/>
      <c r="P9" s="14"/>
    </row>
    <row r="10" spans="2:16" ht="18" customHeight="1">
      <c r="B10" s="132" t="s">
        <v>122</v>
      </c>
      <c r="C10" s="130">
        <v>0.43</v>
      </c>
      <c r="D10" s="130">
        <v>0.39</v>
      </c>
      <c r="E10" s="131">
        <f>(C10-D10)/D10</f>
        <v>0.10256410256410251</v>
      </c>
      <c r="F10" s="130">
        <v>0.33</v>
      </c>
      <c r="G10" s="131">
        <f>(D10-F10)/F10</f>
        <v>0.1818181818181818</v>
      </c>
      <c r="K10" s="14"/>
      <c r="L10" s="14"/>
      <c r="M10" s="14"/>
      <c r="N10" s="14"/>
      <c r="O10" s="14"/>
      <c r="P10" s="14"/>
    </row>
    <row r="11" spans="2:16" ht="18" customHeight="1">
      <c r="B11" s="132"/>
      <c r="C11" s="132"/>
      <c r="D11" s="132"/>
      <c r="E11" s="132"/>
      <c r="F11" s="132"/>
      <c r="G11" s="132"/>
      <c r="K11" s="14"/>
      <c r="L11" s="14"/>
      <c r="M11" s="14"/>
      <c r="N11" s="14"/>
      <c r="O11" s="14"/>
      <c r="P11" s="14"/>
    </row>
    <row r="12" spans="2:16" ht="18" customHeight="1">
      <c r="B12" s="134" t="s">
        <v>131</v>
      </c>
      <c r="C12" s="132"/>
      <c r="D12" s="132"/>
      <c r="E12" s="132"/>
      <c r="F12" s="132"/>
      <c r="G12" s="132"/>
      <c r="K12" s="14"/>
      <c r="L12" s="14"/>
      <c r="M12" s="14"/>
      <c r="N12" s="14"/>
      <c r="O12" s="14"/>
      <c r="P12" s="14"/>
    </row>
    <row r="13" spans="2:16" ht="18" customHeight="1">
      <c r="B13" s="133" t="s">
        <v>92</v>
      </c>
      <c r="C13" s="133" t="s">
        <v>130</v>
      </c>
      <c r="D13" s="133" t="s">
        <v>129</v>
      </c>
      <c r="E13" s="133" t="s">
        <v>84</v>
      </c>
      <c r="F13" s="132"/>
      <c r="G13" s="132"/>
      <c r="K13" s="14"/>
      <c r="L13" s="14"/>
      <c r="M13" s="14"/>
      <c r="N13" s="14"/>
      <c r="O13" s="14"/>
      <c r="P13" s="14"/>
    </row>
    <row r="14" spans="2:16" ht="18" customHeight="1">
      <c r="B14" s="132" t="s">
        <v>96</v>
      </c>
      <c r="C14" s="130">
        <f>SUM(大表!O4:Y4)</f>
        <v>182217.374197</v>
      </c>
      <c r="D14" s="130">
        <f>SUM(大表!C4:M4)</f>
        <v>166266.9377862344</v>
      </c>
      <c r="E14" s="131">
        <f>(C14-D14)/D14</f>
        <v>9.5932700891338429E-2</v>
      </c>
      <c r="F14" s="132"/>
      <c r="G14" s="132"/>
      <c r="K14" s="14"/>
      <c r="L14" s="14"/>
      <c r="M14" s="14"/>
      <c r="N14" s="14"/>
      <c r="O14" s="14"/>
      <c r="P14" s="14"/>
    </row>
    <row r="15" spans="2:16" ht="18" customHeight="1">
      <c r="B15" s="132" t="s">
        <v>3</v>
      </c>
      <c r="C15" s="130">
        <f>SUM(大表!O7:Y7)</f>
        <v>39023.431245439904</v>
      </c>
      <c r="D15" s="130">
        <f>SUM(大表!C7:M7)</f>
        <v>32269.320694170267</v>
      </c>
      <c r="E15" s="131">
        <f>(C15-D15)/D15</f>
        <v>0.20930439209678889</v>
      </c>
      <c r="F15" s="132"/>
      <c r="G15" s="132"/>
      <c r="K15" s="14"/>
      <c r="L15" s="14"/>
      <c r="M15" s="14"/>
      <c r="N15" s="14"/>
      <c r="O15" s="14"/>
      <c r="P15" s="14"/>
    </row>
    <row r="16" spans="2:16" ht="18" customHeight="1">
      <c r="B16" s="132" t="s">
        <v>97</v>
      </c>
      <c r="C16" s="130">
        <f>SUM(大表!O10:Y10)</f>
        <v>18519.122412439909</v>
      </c>
      <c r="D16" s="130">
        <f>SUM(大表!C10:M10)</f>
        <v>16011.673893348558</v>
      </c>
      <c r="E16" s="131">
        <f>(C16-D16)/D16</f>
        <v>0.15660127328304976</v>
      </c>
      <c r="F16" s="132"/>
      <c r="G16" s="132"/>
      <c r="K16" s="14"/>
      <c r="L16" s="14"/>
      <c r="M16" s="14"/>
      <c r="N16" s="14"/>
      <c r="O16" s="14"/>
      <c r="P16" s="14"/>
    </row>
    <row r="17" spans="2:16" ht="18" customHeight="1">
      <c r="B17" s="132" t="s">
        <v>105</v>
      </c>
      <c r="C17" s="130">
        <f>SUM(大表!O19:Y19)</f>
        <v>12867.450872999992</v>
      </c>
      <c r="D17" s="130">
        <f>SUM(大表!C19:M19)</f>
        <v>10503.614214137124</v>
      </c>
      <c r="E17" s="131">
        <f>(C17-D17)/D17</f>
        <v>0.22504983624411026</v>
      </c>
      <c r="F17" s="132"/>
      <c r="G17" s="132"/>
      <c r="K17" s="14"/>
      <c r="L17" s="14"/>
      <c r="M17" s="14"/>
      <c r="N17" s="14"/>
      <c r="O17" s="14"/>
      <c r="P17" s="14"/>
    </row>
    <row r="18" spans="2:16" ht="18" customHeight="1">
      <c r="B18" s="132" t="s">
        <v>122</v>
      </c>
      <c r="C18" s="130">
        <v>4.25</v>
      </c>
      <c r="D18" s="130">
        <v>3.72</v>
      </c>
      <c r="E18" s="131">
        <f>(C18-D18)/D18</f>
        <v>0.14247311827956982</v>
      </c>
      <c r="K18" s="14"/>
      <c r="L18" s="14"/>
      <c r="M18" s="14"/>
      <c r="N18" s="14"/>
      <c r="O18" s="14"/>
      <c r="P18" s="14"/>
    </row>
    <row r="19" spans="2:16">
      <c r="K19" s="14"/>
      <c r="L19" s="14"/>
      <c r="M19" s="14"/>
      <c r="N19" s="14"/>
      <c r="O19" s="14"/>
      <c r="P19" s="14"/>
    </row>
    <row r="20" spans="2:16">
      <c r="K20" s="14"/>
      <c r="L20" s="14"/>
      <c r="M20" s="14"/>
      <c r="N20" s="14"/>
      <c r="O20" s="14"/>
      <c r="P20" s="14"/>
    </row>
    <row r="21" spans="2:16">
      <c r="B21" s="226" t="s">
        <v>126</v>
      </c>
      <c r="C21" s="226"/>
      <c r="D21" s="226"/>
      <c r="E21" s="226"/>
      <c r="F21" s="226"/>
      <c r="G21" s="226"/>
      <c r="K21" s="14"/>
      <c r="L21" s="14"/>
      <c r="M21" s="14"/>
      <c r="N21" s="14"/>
      <c r="O21" s="14"/>
      <c r="P21" s="14"/>
    </row>
    <row r="22" spans="2:16">
      <c r="B22" s="13"/>
      <c r="C22" s="13"/>
      <c r="D22" s="13"/>
      <c r="E22" s="13"/>
      <c r="F22" s="13"/>
      <c r="G22" s="127" t="s">
        <v>90</v>
      </c>
    </row>
    <row r="23" spans="2:16">
      <c r="B23" s="227" t="s">
        <v>125</v>
      </c>
      <c r="C23" s="226"/>
      <c r="D23" s="226"/>
      <c r="E23" s="226"/>
      <c r="F23" s="226"/>
      <c r="G23" s="226"/>
    </row>
    <row r="24" spans="2:16">
      <c r="B24" s="133" t="s">
        <v>92</v>
      </c>
      <c r="C24" s="133" t="s">
        <v>127</v>
      </c>
      <c r="D24" s="133" t="s">
        <v>113</v>
      </c>
      <c r="E24" s="133" t="s">
        <v>80</v>
      </c>
      <c r="F24" s="133" t="s">
        <v>128</v>
      </c>
      <c r="G24" s="133" t="s">
        <v>84</v>
      </c>
    </row>
    <row r="25" spans="2:16">
      <c r="B25" s="20" t="s">
        <v>18</v>
      </c>
      <c r="C25" s="135">
        <f>純數字!Y4</f>
        <v>23065.358815</v>
      </c>
      <c r="D25" s="135">
        <f>純數字!X4</f>
        <v>15929.971154999999</v>
      </c>
      <c r="E25" s="131">
        <f t="shared" ref="E25:E28" si="0">(C25-D25)/D25</f>
        <v>0.44792219587669435</v>
      </c>
      <c r="F25" s="135">
        <f>純數字!M4</f>
        <v>21700.686301605401</v>
      </c>
      <c r="G25" s="131">
        <f t="shared" ref="G25:G28" si="1">(C25-F25)/F25</f>
        <v>6.288614537014163E-2</v>
      </c>
    </row>
    <row r="26" spans="2:16">
      <c r="B26" s="17" t="s">
        <v>3</v>
      </c>
      <c r="C26" s="135">
        <f>純數字!Y5</f>
        <v>3855.3619639505409</v>
      </c>
      <c r="D26" s="135">
        <f>純數字!X5</f>
        <v>3472.3096040193809</v>
      </c>
      <c r="E26" s="131">
        <f t="shared" si="0"/>
        <v>0.11031630344476102</v>
      </c>
      <c r="F26" s="135">
        <f>純數字!M5</f>
        <v>3099.4616046065066</v>
      </c>
      <c r="G26" s="131">
        <f t="shared" si="1"/>
        <v>0.24388118188674898</v>
      </c>
    </row>
    <row r="27" spans="2:16">
      <c r="B27" s="20" t="s">
        <v>14</v>
      </c>
      <c r="C27" s="135">
        <f>純數字!Y6</f>
        <v>2032.1162649505411</v>
      </c>
      <c r="D27" s="135">
        <f>純數字!X6</f>
        <v>1704.8238500193811</v>
      </c>
      <c r="E27" s="131">
        <f t="shared" si="0"/>
        <v>0.19198019486144521</v>
      </c>
      <c r="F27" s="135">
        <f>純數字!M6</f>
        <v>1598.676530014546</v>
      </c>
      <c r="G27" s="131">
        <f t="shared" si="1"/>
        <v>0.27112409971518842</v>
      </c>
    </row>
    <row r="28" spans="2:16">
      <c r="B28" s="20" t="s">
        <v>112</v>
      </c>
      <c r="C28" s="135">
        <f>純數字!Y7</f>
        <v>1325.7904499998908</v>
      </c>
      <c r="D28" s="135">
        <f>純數字!X7</f>
        <v>1176.7139150000462</v>
      </c>
      <c r="E28" s="131">
        <f t="shared" si="0"/>
        <v>0.12668885197965793</v>
      </c>
      <c r="F28" s="135">
        <f>純數字!M7</f>
        <v>949.67679400053601</v>
      </c>
      <c r="G28" s="131">
        <f t="shared" si="1"/>
        <v>0.39604385236683221</v>
      </c>
    </row>
    <row r="29" spans="2:16">
      <c r="B29" s="13"/>
      <c r="C29" s="13"/>
      <c r="D29" s="13"/>
      <c r="E29" s="13"/>
      <c r="F29" s="13"/>
      <c r="G29" s="13"/>
    </row>
    <row r="30" spans="2:16">
      <c r="B30" s="227" t="s">
        <v>124</v>
      </c>
      <c r="C30" s="226"/>
      <c r="D30" s="226"/>
      <c r="E30" s="226"/>
      <c r="F30" s="13"/>
      <c r="G30" s="13"/>
    </row>
    <row r="31" spans="2:16">
      <c r="B31" s="133" t="s">
        <v>92</v>
      </c>
      <c r="C31" s="133" t="s">
        <v>110</v>
      </c>
      <c r="D31" s="133" t="s">
        <v>111</v>
      </c>
      <c r="E31" s="133" t="s">
        <v>84</v>
      </c>
      <c r="F31" s="13"/>
      <c r="G31" s="13"/>
    </row>
    <row r="32" spans="2:16">
      <c r="B32" s="20" t="s">
        <v>18</v>
      </c>
      <c r="C32" s="135">
        <f>SUM(純數字!O4:Y4)</f>
        <v>182217.374197</v>
      </c>
      <c r="D32" s="135">
        <f>SUM(純數字!C4:M4)</f>
        <v>166266.9377862344</v>
      </c>
      <c r="E32" s="131">
        <f>(J16-D32)/D32</f>
        <v>-1</v>
      </c>
      <c r="F32" s="13"/>
      <c r="G32" s="13"/>
    </row>
    <row r="33" spans="2:7">
      <c r="B33" s="17" t="s">
        <v>3</v>
      </c>
      <c r="C33" s="135">
        <f>SUM(純數字!O5:Y5)</f>
        <v>39023.431245439904</v>
      </c>
      <c r="D33" s="135">
        <f>SUM(純數字!C5:M5)</f>
        <v>32269.320694170267</v>
      </c>
      <c r="E33" s="131">
        <f>(J17-D33)/D33</f>
        <v>-1</v>
      </c>
      <c r="F33" s="13"/>
      <c r="G33" s="13"/>
    </row>
    <row r="34" spans="2:7">
      <c r="B34" s="20" t="s">
        <v>14</v>
      </c>
      <c r="C34" s="135">
        <f>SUM(純數字!O6:Y6)</f>
        <v>18519.122412439909</v>
      </c>
      <c r="D34" s="135">
        <f>SUM(純數字!C6:M6)</f>
        <v>16011.673893348558</v>
      </c>
      <c r="E34" s="131">
        <f>(J18-D34)/D34</f>
        <v>-1</v>
      </c>
      <c r="F34" s="13"/>
      <c r="G34" s="13"/>
    </row>
    <row r="35" spans="2:7">
      <c r="B35" s="20" t="s">
        <v>112</v>
      </c>
      <c r="C35" s="135">
        <f>SUM(純數字!O7:Y7)</f>
        <v>12867.450872999992</v>
      </c>
      <c r="D35" s="135">
        <f>SUM(純數字!C7:M7)</f>
        <v>10503.614214137124</v>
      </c>
      <c r="E35" s="131">
        <f>(J21-D35)/D35</f>
        <v>-1</v>
      </c>
      <c r="F35" s="13"/>
      <c r="G35" s="13"/>
    </row>
  </sheetData>
  <mergeCells count="4">
    <mergeCell ref="B2:G2"/>
    <mergeCell ref="B21:G21"/>
    <mergeCell ref="B23:G23"/>
    <mergeCell ref="B30:E30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9670-E69B-45B3-A8CE-EBD28B755D01}">
  <dimension ref="B1:P35"/>
  <sheetViews>
    <sheetView workbookViewId="0">
      <selection activeCell="C10" sqref="C10"/>
    </sheetView>
  </sheetViews>
  <sheetFormatPr defaultRowHeight="15.6"/>
  <cols>
    <col min="1" max="1" width="8.88671875" style="14"/>
    <col min="2" max="2" width="10.33203125" style="14" customWidth="1"/>
    <col min="3" max="7" width="12.21875" style="14" customWidth="1"/>
    <col min="8" max="10" width="8.88671875" style="14"/>
    <col min="11" max="11" width="11.109375" style="13" bestFit="1" customWidth="1"/>
    <col min="12" max="13" width="14.21875" style="13" bestFit="1" customWidth="1"/>
    <col min="14" max="14" width="10" style="13" bestFit="1" customWidth="1"/>
    <col min="15" max="15" width="14.21875" style="13" bestFit="1" customWidth="1"/>
    <col min="16" max="16" width="11.21875" style="13" bestFit="1" customWidth="1"/>
    <col min="17" max="16384" width="8.88671875" style="14"/>
  </cols>
  <sheetData>
    <row r="1" spans="2:16" ht="21" customHeight="1"/>
    <row r="2" spans="2:16" ht="18" customHeight="1">
      <c r="B2" s="225" t="s">
        <v>121</v>
      </c>
      <c r="C2" s="225"/>
      <c r="D2" s="225"/>
      <c r="E2" s="225"/>
      <c r="F2" s="225"/>
      <c r="G2" s="225"/>
      <c r="K2" s="14"/>
      <c r="L2" s="14"/>
      <c r="M2" s="14"/>
      <c r="N2" s="14"/>
      <c r="O2" s="14"/>
      <c r="P2" s="14"/>
    </row>
    <row r="3" spans="2:16" ht="18" customHeight="1">
      <c r="B3" s="13"/>
      <c r="C3" s="13"/>
      <c r="D3" s="13"/>
      <c r="E3" s="13"/>
      <c r="F3" s="13"/>
      <c r="G3" s="127" t="s">
        <v>90</v>
      </c>
      <c r="K3" s="14"/>
      <c r="L3" s="14"/>
      <c r="M3" s="14"/>
      <c r="N3" s="14"/>
      <c r="O3" s="14"/>
      <c r="P3" s="14"/>
    </row>
    <row r="4" spans="2:16" ht="18" customHeight="1">
      <c r="B4" s="13" t="s">
        <v>107</v>
      </c>
      <c r="C4" s="13"/>
      <c r="D4" s="13"/>
      <c r="E4" s="13"/>
      <c r="F4" s="13"/>
      <c r="G4" s="127"/>
      <c r="K4" s="14"/>
      <c r="L4" s="14"/>
      <c r="M4" s="14"/>
      <c r="N4" s="14"/>
      <c r="O4" s="14"/>
      <c r="P4" s="14"/>
    </row>
    <row r="5" spans="2:16" ht="18" customHeight="1">
      <c r="B5" s="133" t="s">
        <v>92</v>
      </c>
      <c r="C5" s="133" t="s">
        <v>113</v>
      </c>
      <c r="D5" s="133" t="s">
        <v>93</v>
      </c>
      <c r="E5" s="133" t="s">
        <v>80</v>
      </c>
      <c r="F5" s="133" t="s">
        <v>109</v>
      </c>
      <c r="G5" s="133" t="s">
        <v>84</v>
      </c>
      <c r="K5" s="14"/>
      <c r="L5" s="14"/>
      <c r="M5" s="14"/>
      <c r="N5" s="14"/>
      <c r="O5" s="14"/>
      <c r="P5" s="14"/>
    </row>
    <row r="6" spans="2:16" ht="18" customHeight="1">
      <c r="B6" s="132" t="s">
        <v>96</v>
      </c>
      <c r="C6" s="130">
        <f>大表!X4</f>
        <v>15929.971154999999</v>
      </c>
      <c r="D6" s="130">
        <v>15913.075638</v>
      </c>
      <c r="E6" s="131">
        <f>(C6-D6)/D6</f>
        <v>1.0617379936065266E-3</v>
      </c>
      <c r="F6" s="130">
        <f>大表!L4</f>
        <v>14817.542416784001</v>
      </c>
      <c r="G6" s="131">
        <f>(C6-F6)/F6</f>
        <v>7.5075117514489947E-2</v>
      </c>
      <c r="K6" s="14"/>
      <c r="L6" s="14"/>
      <c r="M6" s="14"/>
      <c r="N6" s="14"/>
      <c r="O6" s="14"/>
      <c r="P6" s="14"/>
    </row>
    <row r="7" spans="2:16" ht="18" customHeight="1">
      <c r="B7" s="132" t="s">
        <v>3</v>
      </c>
      <c r="C7" s="130">
        <f>大表!X7</f>
        <v>3472.3096040193809</v>
      </c>
      <c r="D7" s="130">
        <v>3446.191014701747</v>
      </c>
      <c r="E7" s="131">
        <f>(C7-D7)/D7</f>
        <v>7.5789731927829182E-3</v>
      </c>
      <c r="F7" s="130">
        <f>大表!L7</f>
        <v>2830.6089718462945</v>
      </c>
      <c r="G7" s="131">
        <f>(C7-F7)/F7</f>
        <v>0.22670055756748714</v>
      </c>
      <c r="K7" s="14"/>
      <c r="L7" s="14"/>
      <c r="M7" s="14"/>
      <c r="N7" s="14"/>
      <c r="O7" s="14"/>
      <c r="P7" s="14"/>
    </row>
    <row r="8" spans="2:16" ht="18" customHeight="1">
      <c r="B8" s="132" t="s">
        <v>97</v>
      </c>
      <c r="C8" s="130">
        <f>大表!X10</f>
        <v>1704.8238500193811</v>
      </c>
      <c r="D8" s="130">
        <v>1686.4044807017469</v>
      </c>
      <c r="E8" s="131">
        <f>(C8-D8)/D8</f>
        <v>1.0922272520273127E-2</v>
      </c>
      <c r="F8" s="130">
        <f>大表!L10</f>
        <v>1345.4326381344545</v>
      </c>
      <c r="G8" s="131">
        <f>(C8-F8)/F8</f>
        <v>0.26711943927809728</v>
      </c>
      <c r="K8" s="14"/>
      <c r="L8" s="14"/>
      <c r="M8" s="14"/>
      <c r="N8" s="14"/>
      <c r="O8" s="14"/>
      <c r="P8" s="14"/>
    </row>
    <row r="9" spans="2:16" ht="18" customHeight="1">
      <c r="B9" s="132" t="s">
        <v>105</v>
      </c>
      <c r="C9" s="130">
        <f>大表!X19</f>
        <v>1176.7139150000462</v>
      </c>
      <c r="D9" s="130">
        <v>1174.3657500001436</v>
      </c>
      <c r="E9" s="131">
        <f>(C9-D9)/D9</f>
        <v>1.9995176118703033E-3</v>
      </c>
      <c r="F9" s="130">
        <f>大表!L19</f>
        <v>865.73591499999725</v>
      </c>
      <c r="G9" s="131">
        <f>(C9-F9)/F9</f>
        <v>0.35920653701891292</v>
      </c>
      <c r="K9" s="14"/>
      <c r="L9" s="14"/>
      <c r="M9" s="14"/>
      <c r="N9" s="14"/>
      <c r="O9" s="14"/>
      <c r="P9" s="14"/>
    </row>
    <row r="10" spans="2:16" ht="18" customHeight="1">
      <c r="B10" s="132" t="s">
        <v>122</v>
      </c>
      <c r="C10" s="130">
        <v>0.39</v>
      </c>
      <c r="D10" s="130">
        <v>0.39</v>
      </c>
      <c r="E10" s="131">
        <f>(C10-D10)/D10</f>
        <v>0</v>
      </c>
      <c r="F10" s="130">
        <v>0.31</v>
      </c>
      <c r="G10" s="131">
        <f>(C10-F10)/F10</f>
        <v>0.25806451612903231</v>
      </c>
      <c r="K10" s="14"/>
      <c r="L10" s="14"/>
      <c r="M10" s="14"/>
      <c r="N10" s="14"/>
      <c r="O10" s="14"/>
      <c r="P10" s="14"/>
    </row>
    <row r="11" spans="2:16" ht="18" customHeight="1">
      <c r="B11" s="132"/>
      <c r="C11" s="132"/>
      <c r="D11" s="132"/>
      <c r="E11" s="132"/>
      <c r="F11" s="132"/>
      <c r="G11" s="132"/>
      <c r="K11" s="14"/>
      <c r="L11" s="14"/>
      <c r="M11" s="14"/>
      <c r="N11" s="14"/>
      <c r="O11" s="14"/>
      <c r="P11" s="14"/>
    </row>
    <row r="12" spans="2:16" ht="18" customHeight="1">
      <c r="B12" s="134" t="s">
        <v>108</v>
      </c>
      <c r="C12" s="132"/>
      <c r="D12" s="132"/>
      <c r="E12" s="132"/>
      <c r="F12" s="132"/>
      <c r="G12" s="132"/>
      <c r="K12" s="14"/>
      <c r="L12" s="14"/>
      <c r="M12" s="14"/>
      <c r="N12" s="14"/>
      <c r="O12" s="14"/>
      <c r="P12" s="14"/>
    </row>
    <row r="13" spans="2:16" ht="18" customHeight="1">
      <c r="B13" s="133" t="s">
        <v>92</v>
      </c>
      <c r="C13" s="133" t="s">
        <v>110</v>
      </c>
      <c r="D13" s="133" t="s">
        <v>111</v>
      </c>
      <c r="E13" s="133" t="s">
        <v>84</v>
      </c>
      <c r="F13" s="132"/>
      <c r="G13" s="132"/>
      <c r="K13" s="14"/>
      <c r="L13" s="14"/>
      <c r="M13" s="14"/>
      <c r="N13" s="14"/>
      <c r="O13" s="14"/>
      <c r="P13" s="14"/>
    </row>
    <row r="14" spans="2:16" ht="18" customHeight="1">
      <c r="B14" s="132" t="s">
        <v>96</v>
      </c>
      <c r="C14" s="130">
        <f>SUM(大表!O4:X4)</f>
        <v>159152.01538200001</v>
      </c>
      <c r="D14" s="130">
        <f>SUM(大表!C4:L4)</f>
        <v>144566.251484629</v>
      </c>
      <c r="E14" s="131">
        <f>(C14-D14)/D14</f>
        <v>0.10089328420417572</v>
      </c>
      <c r="F14" s="132"/>
      <c r="G14" s="132"/>
      <c r="K14" s="14"/>
      <c r="L14" s="14"/>
      <c r="M14" s="14"/>
      <c r="N14" s="14"/>
      <c r="O14" s="14"/>
      <c r="P14" s="14"/>
    </row>
    <row r="15" spans="2:16" ht="18" customHeight="1">
      <c r="B15" s="132" t="s">
        <v>3</v>
      </c>
      <c r="C15" s="130">
        <f>SUM(大表!O7:X7)</f>
        <v>35168.069281489363</v>
      </c>
      <c r="D15" s="130">
        <f>SUM(大表!C7:L7)</f>
        <v>29169.859089563761</v>
      </c>
      <c r="E15" s="131">
        <f>(C15-D15)/D15</f>
        <v>0.20563041369204318</v>
      </c>
      <c r="F15" s="132"/>
      <c r="G15" s="132"/>
      <c r="K15" s="14"/>
      <c r="L15" s="14"/>
      <c r="M15" s="14"/>
      <c r="N15" s="14"/>
      <c r="O15" s="14"/>
      <c r="P15" s="14"/>
    </row>
    <row r="16" spans="2:16" ht="18" customHeight="1">
      <c r="B16" s="132" t="s">
        <v>97</v>
      </c>
      <c r="C16" s="130">
        <f>SUM(大表!O10:X10)</f>
        <v>16487.006147489366</v>
      </c>
      <c r="D16" s="130">
        <f>SUM(大表!C10:L10)</f>
        <v>14412.997363334012</v>
      </c>
      <c r="E16" s="131">
        <f>(C16-D16)/D16</f>
        <v>0.14389850576338375</v>
      </c>
      <c r="F16" s="132"/>
      <c r="G16" s="132"/>
      <c r="K16" s="14"/>
      <c r="L16" s="14"/>
      <c r="M16" s="14"/>
      <c r="N16" s="14"/>
      <c r="O16" s="14"/>
      <c r="P16" s="14"/>
    </row>
    <row r="17" spans="2:16" ht="18" customHeight="1">
      <c r="B17" s="132" t="s">
        <v>105</v>
      </c>
      <c r="C17" s="130">
        <f>SUM(大表!O19:X19)</f>
        <v>11541.660423000101</v>
      </c>
      <c r="D17" s="130">
        <f>SUM(大表!C19:L19)</f>
        <v>9553.9374201365881</v>
      </c>
      <c r="E17" s="131">
        <f>(C17-D17)/D17</f>
        <v>0.20805275515768404</v>
      </c>
      <c r="F17" s="132"/>
      <c r="G17" s="132"/>
      <c r="K17" s="14"/>
      <c r="L17" s="14"/>
      <c r="M17" s="14"/>
      <c r="N17" s="14"/>
      <c r="O17" s="14"/>
      <c r="P17" s="14"/>
    </row>
    <row r="18" spans="2:16" ht="18" customHeight="1">
      <c r="B18" s="132" t="s">
        <v>123</v>
      </c>
      <c r="C18" s="130">
        <v>3.82</v>
      </c>
      <c r="D18" s="130">
        <v>3.39</v>
      </c>
      <c r="E18" s="131">
        <f>(C18-D18)/D18</f>
        <v>0.12684365781710905</v>
      </c>
      <c r="K18" s="14"/>
      <c r="L18" s="14"/>
      <c r="M18" s="14"/>
      <c r="N18" s="14"/>
      <c r="O18" s="14"/>
      <c r="P18" s="14"/>
    </row>
    <row r="19" spans="2:16">
      <c r="K19" s="14"/>
      <c r="L19" s="14"/>
      <c r="M19" s="14"/>
      <c r="N19" s="14"/>
      <c r="O19" s="14"/>
      <c r="P19" s="14"/>
    </row>
    <row r="20" spans="2:16">
      <c r="K20" s="14"/>
      <c r="L20" s="14"/>
      <c r="M20" s="14"/>
      <c r="N20" s="14"/>
      <c r="O20" s="14"/>
      <c r="P20" s="14"/>
    </row>
    <row r="21" spans="2:16">
      <c r="B21" s="226" t="s">
        <v>115</v>
      </c>
      <c r="C21" s="226"/>
      <c r="D21" s="226"/>
      <c r="E21" s="226"/>
      <c r="F21" s="226"/>
      <c r="G21" s="226"/>
      <c r="K21" s="14"/>
      <c r="L21" s="14"/>
      <c r="M21" s="14"/>
      <c r="N21" s="14"/>
      <c r="O21" s="14"/>
      <c r="P21" s="14"/>
    </row>
    <row r="22" spans="2:16">
      <c r="B22" s="13"/>
      <c r="C22" s="13"/>
      <c r="D22" s="13"/>
      <c r="E22" s="13"/>
      <c r="F22" s="13"/>
      <c r="G22" s="127" t="s">
        <v>90</v>
      </c>
    </row>
    <row r="23" spans="2:16">
      <c r="B23" s="226" t="s">
        <v>107</v>
      </c>
      <c r="C23" s="226"/>
      <c r="D23" s="226"/>
      <c r="E23" s="226"/>
      <c r="F23" s="226"/>
      <c r="G23" s="226"/>
    </row>
    <row r="24" spans="2:16">
      <c r="B24" s="133" t="s">
        <v>92</v>
      </c>
      <c r="C24" s="133" t="s">
        <v>113</v>
      </c>
      <c r="D24" s="133" t="s">
        <v>93</v>
      </c>
      <c r="E24" s="133" t="s">
        <v>80</v>
      </c>
      <c r="F24" s="133" t="s">
        <v>109</v>
      </c>
      <c r="G24" s="133" t="s">
        <v>84</v>
      </c>
    </row>
    <row r="25" spans="2:16">
      <c r="B25" s="20" t="s">
        <v>18</v>
      </c>
      <c r="C25" s="135">
        <f>純數字!X4</f>
        <v>15929.971154999999</v>
      </c>
      <c r="D25" s="135">
        <f>純數字!W4</f>
        <v>15913.075638</v>
      </c>
      <c r="E25" s="131">
        <f t="shared" ref="E25:E28" si="0">(C25-D25)/D25</f>
        <v>1.0617379936065266E-3</v>
      </c>
      <c r="F25" s="135">
        <f>純數字!L4</f>
        <v>14817.542416784001</v>
      </c>
      <c r="G25" s="131">
        <f t="shared" ref="G25:G28" si="1">(C25-F25)/F25</f>
        <v>7.5075117514489947E-2</v>
      </c>
    </row>
    <row r="26" spans="2:16">
      <c r="B26" s="17" t="s">
        <v>3</v>
      </c>
      <c r="C26" s="135">
        <f>純數字!X5</f>
        <v>3472.3096040193809</v>
      </c>
      <c r="D26" s="135">
        <f>純數字!W5</f>
        <v>3446.191014701747</v>
      </c>
      <c r="E26" s="131">
        <f t="shared" si="0"/>
        <v>7.5789731927829182E-3</v>
      </c>
      <c r="F26" s="135">
        <f>純數字!L5</f>
        <v>2830.6089718462945</v>
      </c>
      <c r="G26" s="131">
        <f t="shared" si="1"/>
        <v>0.22670055756748714</v>
      </c>
    </row>
    <row r="27" spans="2:16">
      <c r="B27" s="20" t="s">
        <v>14</v>
      </c>
      <c r="C27" s="135">
        <f>純數字!X6</f>
        <v>1704.8238500193811</v>
      </c>
      <c r="D27" s="135">
        <f>純數字!W6</f>
        <v>1686.4044807017469</v>
      </c>
      <c r="E27" s="131">
        <f t="shared" si="0"/>
        <v>1.0922272520273127E-2</v>
      </c>
      <c r="F27" s="135">
        <f>純數字!L6</f>
        <v>1345.4326381344545</v>
      </c>
      <c r="G27" s="131">
        <f t="shared" si="1"/>
        <v>0.26711943927809728</v>
      </c>
    </row>
    <row r="28" spans="2:16">
      <c r="B28" s="20" t="s">
        <v>112</v>
      </c>
      <c r="C28" s="135">
        <f>純數字!X7</f>
        <v>1176.7139150000462</v>
      </c>
      <c r="D28" s="135">
        <f>純數字!W7</f>
        <v>1174.3657500001436</v>
      </c>
      <c r="E28" s="131">
        <f t="shared" si="0"/>
        <v>1.9995176118703033E-3</v>
      </c>
      <c r="F28" s="135">
        <f>純數字!L7</f>
        <v>865.73591499999725</v>
      </c>
      <c r="G28" s="131">
        <f t="shared" si="1"/>
        <v>0.35920653701891292</v>
      </c>
    </row>
    <row r="29" spans="2:16">
      <c r="B29" s="13"/>
      <c r="C29" s="13"/>
      <c r="D29" s="13"/>
      <c r="E29" s="13"/>
      <c r="F29" s="13"/>
      <c r="G29" s="13"/>
    </row>
    <row r="30" spans="2:16">
      <c r="B30" s="226" t="s">
        <v>114</v>
      </c>
      <c r="C30" s="226"/>
      <c r="D30" s="226"/>
      <c r="E30" s="226"/>
      <c r="F30" s="13"/>
      <c r="G30" s="13"/>
    </row>
    <row r="31" spans="2:16">
      <c r="B31" s="133" t="s">
        <v>92</v>
      </c>
      <c r="C31" s="133" t="s">
        <v>110</v>
      </c>
      <c r="D31" s="133" t="s">
        <v>111</v>
      </c>
      <c r="E31" s="133" t="s">
        <v>84</v>
      </c>
      <c r="F31" s="13"/>
      <c r="G31" s="13"/>
    </row>
    <row r="32" spans="2:16">
      <c r="B32" s="20" t="s">
        <v>18</v>
      </c>
      <c r="C32" s="135">
        <f>SUM(純數字!O4:X4)</f>
        <v>159152.01538200001</v>
      </c>
      <c r="D32" s="135">
        <f>SUM(純數字!C4:L4)</f>
        <v>144566.251484629</v>
      </c>
      <c r="E32" s="131">
        <f>(J16-D32)/D32</f>
        <v>-1</v>
      </c>
      <c r="F32" s="13"/>
      <c r="G32" s="13"/>
    </row>
    <row r="33" spans="2:7">
      <c r="B33" s="17" t="s">
        <v>3</v>
      </c>
      <c r="C33" s="135">
        <f>SUM(純數字!O5:X5)</f>
        <v>35168.069281489363</v>
      </c>
      <c r="D33" s="135">
        <f>SUM(純數字!C5:L5)</f>
        <v>29169.859089563761</v>
      </c>
      <c r="E33" s="131">
        <f>(J17-D33)/D33</f>
        <v>-1</v>
      </c>
      <c r="F33" s="13"/>
      <c r="G33" s="13"/>
    </row>
    <row r="34" spans="2:7">
      <c r="B34" s="20" t="s">
        <v>14</v>
      </c>
      <c r="C34" s="135">
        <f>SUM(純數字!O6:X6)</f>
        <v>16487.006147489366</v>
      </c>
      <c r="D34" s="135">
        <f>SUM(純數字!C6:L6)</f>
        <v>14412.997363334012</v>
      </c>
      <c r="E34" s="131">
        <f>(J18-D34)/D34</f>
        <v>-1</v>
      </c>
      <c r="F34" s="13"/>
      <c r="G34" s="13"/>
    </row>
    <row r="35" spans="2:7">
      <c r="B35" s="20" t="s">
        <v>112</v>
      </c>
      <c r="C35" s="135">
        <f>SUM(純數字!O7:X7)</f>
        <v>11541.660423000101</v>
      </c>
      <c r="D35" s="135">
        <f>SUM(純數字!C7:L7)</f>
        <v>9553.9374201365881</v>
      </c>
      <c r="E35" s="131">
        <f>(J21-D35)/D35</f>
        <v>-1</v>
      </c>
      <c r="F35" s="13"/>
      <c r="G35" s="13"/>
    </row>
  </sheetData>
  <mergeCells count="4">
    <mergeCell ref="B2:G2"/>
    <mergeCell ref="B21:G21"/>
    <mergeCell ref="B23:G23"/>
    <mergeCell ref="B30:E30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1006-88A7-449A-9D97-FC10392C0B38}">
  <dimension ref="B1:O23"/>
  <sheetViews>
    <sheetView workbookViewId="0">
      <selection activeCell="E6" sqref="E6"/>
    </sheetView>
  </sheetViews>
  <sheetFormatPr defaultRowHeight="15.6"/>
  <cols>
    <col min="1" max="1" width="8.88671875" style="14"/>
    <col min="2" max="2" width="10.33203125" style="14" customWidth="1"/>
    <col min="3" max="7" width="12.21875" style="14" customWidth="1"/>
    <col min="8" max="9" width="8.88671875" style="14"/>
    <col min="10" max="10" width="12.21875" style="14" customWidth="1"/>
    <col min="11" max="15" width="16" style="14" customWidth="1"/>
    <col min="16" max="16384" width="8.88671875" style="14"/>
  </cols>
  <sheetData>
    <row r="1" spans="2:15" ht="21" customHeight="1"/>
    <row r="2" spans="2:15" ht="18" customHeight="1">
      <c r="B2" s="225" t="s">
        <v>89</v>
      </c>
      <c r="C2" s="225"/>
      <c r="D2" s="225"/>
      <c r="E2" s="225"/>
      <c r="F2" s="225"/>
      <c r="G2" s="225"/>
    </row>
    <row r="3" spans="2:15" ht="18" customHeight="1">
      <c r="B3" s="13"/>
      <c r="C3" s="13"/>
      <c r="D3" s="13"/>
      <c r="E3" s="13"/>
      <c r="F3" s="13"/>
      <c r="G3" s="127" t="s">
        <v>90</v>
      </c>
    </row>
    <row r="4" spans="2:15" ht="18" customHeight="1">
      <c r="B4" s="13" t="s">
        <v>91</v>
      </c>
      <c r="C4" s="13"/>
      <c r="D4" s="13"/>
      <c r="E4" s="13"/>
      <c r="F4" s="13"/>
      <c r="G4" s="127"/>
    </row>
    <row r="5" spans="2:15" ht="18" customHeight="1">
      <c r="B5" s="133" t="s">
        <v>92</v>
      </c>
      <c r="C5" s="133" t="s">
        <v>93</v>
      </c>
      <c r="D5" s="133" t="s">
        <v>94</v>
      </c>
      <c r="E5" s="133" t="s">
        <v>80</v>
      </c>
      <c r="F5" s="133" t="s">
        <v>95</v>
      </c>
      <c r="G5" s="133" t="s">
        <v>84</v>
      </c>
    </row>
    <row r="6" spans="2:15" ht="18" customHeight="1">
      <c r="B6" s="132" t="s">
        <v>96</v>
      </c>
      <c r="C6" s="130">
        <f>大表!W4</f>
        <v>15913.075638</v>
      </c>
      <c r="D6" s="130">
        <f>大表!V4</f>
        <v>15817.810332999999</v>
      </c>
      <c r="E6" s="131">
        <f>(C6-D6)/D6</f>
        <v>6.0226607219618132E-3</v>
      </c>
      <c r="F6" s="130">
        <f>大表!K4</f>
        <v>14350.5652457043</v>
      </c>
      <c r="G6" s="131">
        <f>(C6-F6)/F6</f>
        <v>0.10888145278900582</v>
      </c>
      <c r="J6" s="14">
        <v>159.1</v>
      </c>
      <c r="K6" s="14">
        <v>158.19999999999999</v>
      </c>
      <c r="L6" s="131">
        <f>(J6-K6)/K6</f>
        <v>5.6890012642225396E-3</v>
      </c>
      <c r="M6" s="14">
        <v>143.5</v>
      </c>
      <c r="N6" s="131">
        <f>(J6-M6)/M6</f>
        <v>0.10871080139372818</v>
      </c>
    </row>
    <row r="7" spans="2:15" ht="18" customHeight="1">
      <c r="B7" s="132" t="s">
        <v>104</v>
      </c>
      <c r="C7" s="130">
        <f>大表!W7</f>
        <v>3446.191014701747</v>
      </c>
      <c r="D7" s="130">
        <f>大表!V7</f>
        <v>3562.6663288240024</v>
      </c>
      <c r="E7" s="131">
        <f>(C7-D7)/D7</f>
        <v>-3.2693298606132078E-2</v>
      </c>
      <c r="F7" s="130">
        <f>大表!K7</f>
        <v>2834.8833820995637</v>
      </c>
      <c r="G7" s="131">
        <f>(C7-F7)/F7</f>
        <v>0.21563766483735858</v>
      </c>
    </row>
    <row r="8" spans="2:15" ht="18" customHeight="1">
      <c r="B8" s="132" t="s">
        <v>97</v>
      </c>
      <c r="C8" s="130">
        <f>大表!W10</f>
        <v>1686.4044807017469</v>
      </c>
      <c r="D8" s="130">
        <f>大表!V10</f>
        <v>1798.288207824002</v>
      </c>
      <c r="E8" s="131">
        <f>(C8-D8)/D8</f>
        <v>-6.2216794079764728E-2</v>
      </c>
      <c r="F8" s="130">
        <f>大表!K10</f>
        <v>1349.7683944701269</v>
      </c>
      <c r="G8" s="131">
        <f>(C8-F8)/F8</f>
        <v>0.24940285134159773</v>
      </c>
    </row>
    <row r="9" spans="2:15" ht="18" customHeight="1">
      <c r="B9" s="132" t="s">
        <v>105</v>
      </c>
      <c r="C9" s="130">
        <f>大表!W19</f>
        <v>1174.3657500001436</v>
      </c>
      <c r="D9" s="130">
        <f>大表!V19</f>
        <v>1153.2636659996854</v>
      </c>
      <c r="E9" s="131">
        <f>(C9-D9)/D9</f>
        <v>1.8297709901548238E-2</v>
      </c>
      <c r="F9" s="130">
        <f>大表!K19</f>
        <v>877.99823800027275</v>
      </c>
      <c r="G9" s="131">
        <f>(C9-F9)/F9</f>
        <v>0.33754909653905119</v>
      </c>
    </row>
    <row r="10" spans="2:15" ht="18" customHeight="1">
      <c r="B10" s="132"/>
      <c r="C10" s="132"/>
      <c r="D10" s="132"/>
      <c r="E10" s="132"/>
      <c r="F10" s="132"/>
      <c r="G10" s="132"/>
    </row>
    <row r="11" spans="2:15" ht="18" customHeight="1">
      <c r="B11" s="134" t="s">
        <v>106</v>
      </c>
      <c r="C11" s="132"/>
      <c r="D11" s="132"/>
      <c r="E11" s="132"/>
      <c r="F11" s="132"/>
      <c r="G11" s="132"/>
    </row>
    <row r="12" spans="2:15" ht="18" customHeight="1">
      <c r="B12" s="133" t="s">
        <v>92</v>
      </c>
      <c r="C12" s="133" t="s">
        <v>98</v>
      </c>
      <c r="D12" s="133" t="s">
        <v>99</v>
      </c>
      <c r="E12" s="133" t="s">
        <v>84</v>
      </c>
      <c r="F12" s="132"/>
      <c r="G12" s="132"/>
      <c r="K12" s="136" t="s">
        <v>116</v>
      </c>
      <c r="L12" s="136" t="s">
        <v>117</v>
      </c>
      <c r="M12" s="136" t="s">
        <v>80</v>
      </c>
      <c r="N12" s="136" t="s">
        <v>118</v>
      </c>
      <c r="O12" s="136" t="s">
        <v>84</v>
      </c>
    </row>
    <row r="13" spans="2:15" ht="18" customHeight="1">
      <c r="B13" s="132" t="s">
        <v>96</v>
      </c>
      <c r="C13" s="130">
        <f>SUM(大表!O4:W4)</f>
        <v>143222.04422700001</v>
      </c>
      <c r="D13" s="130">
        <f>SUM(大表!C4:K4)</f>
        <v>129748.709067845</v>
      </c>
      <c r="E13" s="131">
        <f>(C13-D13)/D13</f>
        <v>0.10384176656516757</v>
      </c>
      <c r="F13" s="132"/>
      <c r="G13" s="132"/>
      <c r="J13" s="139" t="s">
        <v>119</v>
      </c>
      <c r="K13" s="14">
        <v>34.4619</v>
      </c>
      <c r="L13" s="14">
        <v>35.6267</v>
      </c>
      <c r="M13" s="137">
        <v>-3.2693298606132078E-2</v>
      </c>
      <c r="N13" s="14">
        <v>28.348800000000001</v>
      </c>
      <c r="O13" s="137">
        <v>0.21563766483735858</v>
      </c>
    </row>
    <row r="14" spans="2:15" ht="18" customHeight="1">
      <c r="B14" s="132" t="s">
        <v>104</v>
      </c>
      <c r="C14" s="130">
        <f>SUM(大表!O7:W7)</f>
        <v>31695.759677469985</v>
      </c>
      <c r="D14" s="130">
        <f>SUM(大表!C7:K7)</f>
        <v>26339.250117717467</v>
      </c>
      <c r="E14" s="131">
        <f>(C14-D14)/D14</f>
        <v>0.2033660615170432</v>
      </c>
      <c r="F14" s="132"/>
      <c r="G14" s="132"/>
      <c r="J14" s="140" t="s">
        <v>120</v>
      </c>
      <c r="K14" s="14">
        <v>34.5</v>
      </c>
      <c r="L14" s="14">
        <v>35.6</v>
      </c>
      <c r="M14" s="138">
        <f>(K14-L14)/L14</f>
        <v>-3.0898876404494419E-2</v>
      </c>
      <c r="N14" s="14">
        <v>28.3</v>
      </c>
      <c r="O14" s="138">
        <f>(K14-N14)/N14</f>
        <v>0.21908127208480563</v>
      </c>
    </row>
    <row r="15" spans="2:15" ht="18" customHeight="1">
      <c r="B15" s="132" t="s">
        <v>97</v>
      </c>
      <c r="C15" s="130">
        <f>SUM(大表!O10:W10)</f>
        <v>14782.182297469984</v>
      </c>
      <c r="D15" s="130">
        <f>SUM(大表!C10:K10)</f>
        <v>13067.564725199558</v>
      </c>
      <c r="E15" s="131">
        <f>(C15-D15)/D15</f>
        <v>0.13121171452580979</v>
      </c>
      <c r="F15" s="132"/>
      <c r="G15" s="132"/>
    </row>
    <row r="16" spans="2:15" ht="18" customHeight="1">
      <c r="B16" s="132" t="s">
        <v>105</v>
      </c>
      <c r="C16" s="130">
        <f>SUM(大表!O19:W19)</f>
        <v>10364.946508000055</v>
      </c>
      <c r="D16" s="130">
        <f>SUM(大表!C19:K19)</f>
        <v>8688.2015051365906</v>
      </c>
      <c r="E16" s="131">
        <f>(C16-D16)/D16</f>
        <v>0.19299103524154554</v>
      </c>
      <c r="F16" s="132"/>
      <c r="G16" s="132"/>
    </row>
    <row r="17" spans="2:7" ht="18" customHeight="1">
      <c r="B17" s="132"/>
    </row>
    <row r="18" spans="2:7" ht="18" customHeight="1">
      <c r="B18" s="15" t="s">
        <v>100</v>
      </c>
    </row>
    <row r="19" spans="2:7" ht="18" customHeight="1">
      <c r="B19" s="133" t="s">
        <v>92</v>
      </c>
      <c r="C19" s="133" t="s">
        <v>101</v>
      </c>
      <c r="D19" s="133" t="s">
        <v>102</v>
      </c>
      <c r="E19" s="133" t="s">
        <v>87</v>
      </c>
      <c r="F19" s="133" t="s">
        <v>103</v>
      </c>
      <c r="G19" s="133" t="s">
        <v>84</v>
      </c>
    </row>
    <row r="20" spans="2:7" ht="18" customHeight="1">
      <c r="B20" s="132" t="s">
        <v>96</v>
      </c>
      <c r="C20" s="130">
        <f>SUM(大表!U4:W4)</f>
        <v>47201.517163000004</v>
      </c>
      <c r="D20" s="130">
        <f>SUM(大表!R4:T4)</f>
        <v>47743.895575000002</v>
      </c>
      <c r="E20" s="131">
        <f>(C20-D20)/D20</f>
        <v>-1.1360162497590628E-2</v>
      </c>
      <c r="F20" s="130">
        <f>SUM(大表!I4:K4)</f>
        <v>43187.0520057783</v>
      </c>
      <c r="G20" s="131">
        <f>(C20-F20)/F20</f>
        <v>9.2955294950083214E-2</v>
      </c>
    </row>
    <row r="21" spans="2:7">
      <c r="B21" s="132" t="s">
        <v>104</v>
      </c>
      <c r="C21" s="130">
        <f>SUM(大表!U7:W7)</f>
        <v>10521.868093728081</v>
      </c>
      <c r="D21" s="130">
        <f>SUM(大表!R7:T7)</f>
        <v>10586.412479067469</v>
      </c>
      <c r="E21" s="131">
        <f>(C21-D21)/D21</f>
        <v>-6.0969082271271615E-3</v>
      </c>
      <c r="F21" s="130">
        <f>SUM(大表!I5:K7)</f>
        <v>8750.1571023703382</v>
      </c>
      <c r="G21" s="131">
        <f>(C21-F21)/F21</f>
        <v>0.20247762075926637</v>
      </c>
    </row>
    <row r="22" spans="2:7">
      <c r="B22" s="132" t="s">
        <v>97</v>
      </c>
      <c r="C22" s="130">
        <f>SUM(大表!U10:W10)</f>
        <v>5175.9079507280794</v>
      </c>
      <c r="D22" s="130">
        <f>SUM(大表!R10:T10)</f>
        <v>4950.9755210674693</v>
      </c>
      <c r="E22" s="131">
        <f>(C22-D22)/D22</f>
        <v>4.543194138275862E-2</v>
      </c>
      <c r="F22" s="130">
        <f>SUM(大表!I10:K10)</f>
        <v>4297.6795770812205</v>
      </c>
      <c r="G22" s="131">
        <f>(C22-F22)/F22</f>
        <v>0.20434943040665443</v>
      </c>
    </row>
    <row r="23" spans="2:7">
      <c r="B23" s="132" t="s">
        <v>105</v>
      </c>
      <c r="C23" s="130">
        <f>SUM(大表!U19:W19)</f>
        <v>4164.4249299999174</v>
      </c>
      <c r="D23" s="130">
        <f>SUM(大表!R19:T19)</f>
        <v>3232.6016029972507</v>
      </c>
      <c r="E23" s="131">
        <f>(C23-D23)/D23</f>
        <v>0.28825801674375373</v>
      </c>
      <c r="F23" s="130">
        <f>SUM(大表!I19:K19)</f>
        <v>2938.2080519998772</v>
      </c>
      <c r="G23" s="131">
        <f>(C23-F23)/F23</f>
        <v>0.41733493894873153</v>
      </c>
    </row>
  </sheetData>
  <mergeCells count="1">
    <mergeCell ref="B2:G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BB0F-A280-4DFB-8B1A-11D43AA52E7D}">
  <dimension ref="B1:G8"/>
  <sheetViews>
    <sheetView workbookViewId="0">
      <selection activeCell="B7" sqref="B7:E8"/>
    </sheetView>
  </sheetViews>
  <sheetFormatPr defaultRowHeight="15.6"/>
  <cols>
    <col min="1" max="1" width="8.88671875" style="105"/>
    <col min="2" max="2" width="10.33203125" style="105" customWidth="1"/>
    <col min="3" max="7" width="12.21875" style="105" customWidth="1"/>
    <col min="8" max="16384" width="8.88671875" style="105"/>
  </cols>
  <sheetData>
    <row r="1" spans="2:7" ht="21" customHeight="1" thickBot="1"/>
    <row r="2" spans="2:7" ht="21" customHeight="1">
      <c r="B2" s="228" t="s">
        <v>85</v>
      </c>
      <c r="C2" s="229"/>
      <c r="D2" s="229"/>
      <c r="E2" s="229"/>
      <c r="F2" s="229"/>
      <c r="G2" s="230"/>
    </row>
    <row r="3" spans="2:7" ht="21" customHeight="1">
      <c r="B3" s="106"/>
      <c r="C3" s="107"/>
      <c r="D3" s="107"/>
      <c r="E3" s="107"/>
      <c r="F3" s="107"/>
      <c r="G3" s="122" t="s">
        <v>86</v>
      </c>
    </row>
    <row r="4" spans="2:7" ht="21" customHeight="1">
      <c r="B4" s="108" t="s">
        <v>76</v>
      </c>
      <c r="C4" s="109" t="s">
        <v>78</v>
      </c>
      <c r="D4" s="109" t="s">
        <v>79</v>
      </c>
      <c r="E4" s="109" t="s">
        <v>80</v>
      </c>
      <c r="F4" s="109" t="s">
        <v>81</v>
      </c>
      <c r="G4" s="110" t="s">
        <v>84</v>
      </c>
    </row>
    <row r="5" spans="2:7" ht="21" customHeight="1">
      <c r="B5" s="108" t="s">
        <v>77</v>
      </c>
      <c r="C5" s="111">
        <f>大表!V4</f>
        <v>15817.810332999999</v>
      </c>
      <c r="D5" s="111">
        <f>大表!U4</f>
        <v>15470.631192000001</v>
      </c>
      <c r="E5" s="120">
        <f>(C5-D5)/D5</f>
        <v>2.2441174939231187E-2</v>
      </c>
      <c r="F5" s="111">
        <f>大表!J4</f>
        <v>14561.723196991399</v>
      </c>
      <c r="G5" s="121">
        <f>(C5-F5)/F5</f>
        <v>8.62595119421114E-2</v>
      </c>
    </row>
    <row r="6" spans="2:7" ht="21" customHeight="1">
      <c r="B6" s="112"/>
      <c r="C6" s="113"/>
      <c r="D6" s="113"/>
      <c r="E6" s="113"/>
      <c r="F6" s="113"/>
      <c r="G6" s="114"/>
    </row>
    <row r="7" spans="2:7" ht="21" customHeight="1">
      <c r="B7" s="108" t="s">
        <v>76</v>
      </c>
      <c r="C7" s="109" t="s">
        <v>82</v>
      </c>
      <c r="D7" s="109" t="s">
        <v>83</v>
      </c>
      <c r="E7" s="109" t="s">
        <v>84</v>
      </c>
      <c r="F7" s="113"/>
      <c r="G7" s="114"/>
    </row>
    <row r="8" spans="2:7" ht="16.2" thickBot="1">
      <c r="B8" s="115" t="s">
        <v>77</v>
      </c>
      <c r="C8" s="116">
        <f>SUM(大表!O4:V4)</f>
        <v>127308.96858900001</v>
      </c>
      <c r="D8" s="116">
        <f>SUM(大表!C4:J4)</f>
        <v>115398.1438221407</v>
      </c>
      <c r="E8" s="119">
        <f>(C8-D8)/D8</f>
        <v>0.10321504638078985</v>
      </c>
      <c r="F8" s="117"/>
      <c r="G8" s="118"/>
    </row>
  </sheetData>
  <mergeCells count="1">
    <mergeCell ref="B2:G2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80F4-3043-4669-96EA-1CF3EDA62001}">
  <dimension ref="B1:J9"/>
  <sheetViews>
    <sheetView workbookViewId="0">
      <selection activeCell="G20" sqref="G20"/>
    </sheetView>
  </sheetViews>
  <sheetFormatPr defaultRowHeight="16.2"/>
  <cols>
    <col min="2" max="2" width="16.109375" bestFit="1" customWidth="1"/>
    <col min="3" max="8" width="6.5546875" bestFit="1" customWidth="1"/>
    <col min="9" max="10" width="11.77734375" bestFit="1" customWidth="1"/>
  </cols>
  <sheetData>
    <row r="1" spans="2:10" ht="16.8" thickBot="1"/>
    <row r="2" spans="2:10" ht="16.8" thickBot="1">
      <c r="B2" s="168" t="s">
        <v>300</v>
      </c>
      <c r="C2" s="169">
        <v>2018</v>
      </c>
      <c r="D2" s="169">
        <v>2019</v>
      </c>
      <c r="E2" s="169">
        <v>2020</v>
      </c>
      <c r="F2" s="169">
        <v>2021</v>
      </c>
      <c r="G2" s="169">
        <v>2022</v>
      </c>
      <c r="H2" s="169">
        <v>2023</v>
      </c>
      <c r="I2" s="169" t="s">
        <v>301</v>
      </c>
      <c r="J2" s="169" t="s">
        <v>302</v>
      </c>
    </row>
    <row r="3" spans="2:10" ht="16.8" thickBot="1">
      <c r="B3" s="170" t="s">
        <v>303</v>
      </c>
      <c r="C3" s="171">
        <v>118.7</v>
      </c>
      <c r="D3" s="172">
        <v>124.4</v>
      </c>
      <c r="E3" s="172">
        <v>132.9</v>
      </c>
      <c r="F3" s="172">
        <v>156.1</v>
      </c>
      <c r="G3" s="172">
        <v>172.2</v>
      </c>
      <c r="H3" s="172">
        <v>183.3</v>
      </c>
      <c r="I3" s="173">
        <v>0.54</v>
      </c>
      <c r="J3" s="173">
        <v>0.47</v>
      </c>
    </row>
    <row r="4" spans="2:10" ht="16.8" thickBot="1">
      <c r="B4" s="174" t="s">
        <v>3</v>
      </c>
      <c r="C4" s="172">
        <v>31.7</v>
      </c>
      <c r="D4" s="172">
        <v>33.4</v>
      </c>
      <c r="E4" s="172">
        <v>31.3</v>
      </c>
      <c r="F4" s="172">
        <v>33.1</v>
      </c>
      <c r="G4" s="172">
        <v>34.4</v>
      </c>
      <c r="H4" s="172">
        <v>35.799999999999997</v>
      </c>
      <c r="I4" s="173">
        <v>0.13</v>
      </c>
      <c r="J4" s="173">
        <v>7.0000000000000007E-2</v>
      </c>
    </row>
    <row r="5" spans="2:10" ht="16.8" thickBot="1">
      <c r="B5" s="174" t="s">
        <v>304</v>
      </c>
      <c r="C5" s="172">
        <v>13.6</v>
      </c>
      <c r="D5" s="172">
        <v>12.5</v>
      </c>
      <c r="E5" s="172">
        <v>11.3</v>
      </c>
      <c r="F5" s="172">
        <v>11</v>
      </c>
      <c r="G5" s="172">
        <v>11</v>
      </c>
      <c r="H5" s="172">
        <v>12.3</v>
      </c>
      <c r="I5" s="173">
        <v>-0.1</v>
      </c>
      <c r="J5" s="173">
        <v>-0.02</v>
      </c>
    </row>
    <row r="6" spans="2:10" ht="16.8" thickBot="1">
      <c r="B6" s="174" t="s">
        <v>299</v>
      </c>
      <c r="C6" s="172">
        <v>5.01</v>
      </c>
      <c r="D6" s="172">
        <v>4.51</v>
      </c>
      <c r="E6" s="172">
        <v>4.01</v>
      </c>
      <c r="F6" s="172">
        <v>3.9</v>
      </c>
      <c r="G6" s="172">
        <v>3.91</v>
      </c>
      <c r="H6" s="172">
        <v>4.33</v>
      </c>
      <c r="I6" s="173">
        <v>-0.14000000000000001</v>
      </c>
      <c r="J6" s="173">
        <v>-0.04</v>
      </c>
    </row>
    <row r="7" spans="2:10" ht="16.8" thickBot="1">
      <c r="B7" s="170" t="s">
        <v>305</v>
      </c>
      <c r="C7" s="172">
        <v>364.6</v>
      </c>
      <c r="D7" s="172">
        <v>393</v>
      </c>
      <c r="E7" s="172">
        <v>347.4</v>
      </c>
      <c r="F7" s="172">
        <v>351.9</v>
      </c>
      <c r="G7" s="172">
        <v>333.3</v>
      </c>
      <c r="H7" s="172">
        <v>367.1</v>
      </c>
      <c r="I7" s="173">
        <v>0.01</v>
      </c>
      <c r="J7" s="173">
        <v>-7.0000000000000007E-2</v>
      </c>
    </row>
    <row r="8" spans="2:10" ht="16.8" thickBot="1">
      <c r="B8" s="170" t="s">
        <v>306</v>
      </c>
      <c r="C8" s="172">
        <v>106.5</v>
      </c>
      <c r="D8" s="172">
        <v>112</v>
      </c>
      <c r="E8" s="172">
        <v>98.9</v>
      </c>
      <c r="F8" s="172">
        <v>100</v>
      </c>
      <c r="G8" s="172">
        <v>94.7</v>
      </c>
      <c r="H8" s="172">
        <v>98.6</v>
      </c>
      <c r="I8" s="173">
        <v>-7.0000000000000007E-2</v>
      </c>
      <c r="J8" s="173">
        <v>-0.12</v>
      </c>
    </row>
    <row r="9" spans="2:10" ht="16.8" thickBot="1">
      <c r="B9" s="170" t="s">
        <v>307</v>
      </c>
      <c r="C9" s="172">
        <v>3.42</v>
      </c>
      <c r="D9" s="172">
        <v>3.51</v>
      </c>
      <c r="E9" s="172">
        <v>3.51</v>
      </c>
      <c r="F9" s="172">
        <v>3.52</v>
      </c>
      <c r="G9" s="172">
        <v>3.52</v>
      </c>
      <c r="H9" s="172">
        <v>3.72</v>
      </c>
      <c r="I9" s="173">
        <v>0.09</v>
      </c>
      <c r="J9" s="173">
        <v>0.06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純數字</vt:lpstr>
      <vt:lpstr>大表</vt:lpstr>
      <vt:lpstr>raw</vt:lpstr>
      <vt:lpstr>林之晨任期績效</vt:lpstr>
      <vt:lpstr>三雄比較表</vt:lpstr>
      <vt:lpstr>月報模板</vt:lpstr>
      <vt:lpstr>2026.04</vt:lpstr>
      <vt:lpstr>2026.03</vt:lpstr>
      <vt:lpstr>2026.02</vt:lpstr>
      <vt:lpstr>2026.01</vt:lpstr>
      <vt:lpstr>2025.12</vt:lpstr>
      <vt:lpstr>2025.11</vt:lpstr>
      <vt:lpstr>2025.10</vt:lpstr>
      <vt:lpstr>2025.09</vt:lpstr>
      <vt:lpstr>2025.08</vt:lpstr>
      <vt:lpstr>2025.07</vt:lpstr>
      <vt:lpstr>2025.06</vt:lpstr>
      <vt:lpstr>2025.05</vt:lpstr>
      <vt:lpstr>2025.04</vt:lpstr>
      <vt:lpstr>2025.03</vt:lpstr>
      <vt:lpstr>2025.02</vt:lpstr>
      <vt:lpstr>2025.01</vt:lpstr>
      <vt:lpstr>2024.12</vt:lpstr>
      <vt:lpstr>2024.11</vt:lpstr>
      <vt:lpstr>2024.10</vt:lpstr>
      <vt:lpstr>2024.09</vt:lpstr>
      <vt:lpstr>2024.08</vt:lpstr>
      <vt:lpstr>CEO</vt:lpstr>
    </vt:vector>
  </TitlesOfParts>
  <Company>Taiwan Mobile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Tseng ( 曾文文 )</dc:creator>
  <cp:lastModifiedBy>Wen Tseng ( 曾文文 )</cp:lastModifiedBy>
  <dcterms:created xsi:type="dcterms:W3CDTF">2024-09-10T08:29:59Z</dcterms:created>
  <dcterms:modified xsi:type="dcterms:W3CDTF">2026-06-10T10:21:33Z</dcterms:modified>
</cp:coreProperties>
</file>